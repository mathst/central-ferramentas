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.valerio\Downloads\"/>
    </mc:Choice>
  </mc:AlternateContent>
  <xr:revisionPtr revIDLastSave="0" documentId="8_{CEAE7360-F3B3-4F60-B715-A04D147F883A}" xr6:coauthVersionLast="47" xr6:coauthVersionMax="47" xr10:uidLastSave="{00000000-0000-0000-0000-000000000000}"/>
  <bookViews>
    <workbookView xWindow="-108" yWindow="-108" windowWidth="23256" windowHeight="12456" xr2:uid="{141B96BD-5170-4939-9C1A-2471C52A12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7" i="1" l="1"/>
  <c r="AW37" i="1"/>
  <c r="AU95" i="1"/>
  <c r="O159" i="1"/>
  <c r="S156" i="1"/>
  <c r="L156" i="1"/>
  <c r="K156" i="1"/>
  <c r="O154" i="1"/>
  <c r="S131" i="1"/>
  <c r="R125" i="1"/>
  <c r="L118" i="1"/>
  <c r="K117" i="1"/>
  <c r="R110" i="1"/>
  <c r="R109" i="1"/>
  <c r="R108" i="1"/>
  <c r="R107" i="1"/>
  <c r="R106" i="1"/>
  <c r="R105" i="1"/>
  <c r="R101" i="1"/>
  <c r="S99" i="1"/>
  <c r="K95" i="1"/>
  <c r="K94" i="1"/>
  <c r="S94" i="1" s="1"/>
  <c r="S93" i="1"/>
  <c r="L93" i="1"/>
  <c r="K93" i="1"/>
  <c r="K91" i="1"/>
  <c r="S91" i="1" s="1"/>
  <c r="T87" i="1"/>
  <c r="Q75" i="1"/>
  <c r="L73" i="1"/>
  <c r="L72" i="1"/>
  <c r="S66" i="1"/>
  <c r="L66" i="1"/>
  <c r="K65" i="1"/>
  <c r="S65" i="1" s="1"/>
  <c r="L58" i="1"/>
  <c r="K58" i="1"/>
  <c r="S58" i="1" s="1"/>
  <c r="L57" i="1"/>
  <c r="K57" i="1"/>
  <c r="S57" i="1" s="1"/>
  <c r="S56" i="1"/>
  <c r="L56" i="1"/>
  <c r="K56" i="1"/>
  <c r="T53" i="1"/>
  <c r="K47" i="1"/>
  <c r="L47" i="1" s="1"/>
  <c r="S47" i="1" s="1"/>
  <c r="K46" i="1"/>
  <c r="S46" i="1" s="1"/>
  <c r="K45" i="1"/>
  <c r="S45" i="1" s="1"/>
  <c r="K44" i="1"/>
  <c r="S44" i="1" s="1"/>
  <c r="K43" i="1"/>
  <c r="S43" i="1" s="1"/>
  <c r="S42" i="1"/>
  <c r="K42" i="1"/>
  <c r="L42" i="1" s="1"/>
  <c r="K41" i="1"/>
  <c r="S41" i="1" s="1"/>
  <c r="K40" i="1"/>
  <c r="S40" i="1" s="1"/>
  <c r="K39" i="1"/>
  <c r="S39" i="1" s="1"/>
  <c r="S38" i="1"/>
  <c r="L38" i="1"/>
  <c r="O37" i="1"/>
  <c r="L37" i="1"/>
  <c r="O36" i="1"/>
  <c r="L34" i="1"/>
  <c r="L31" i="1"/>
  <c r="S19" i="1"/>
  <c r="K12" i="1"/>
  <c r="L12" i="1" s="1"/>
  <c r="S12" i="1" s="1"/>
  <c r="L6" i="1"/>
  <c r="S6" i="1" s="1"/>
  <c r="L5" i="1"/>
  <c r="S5" i="1" s="1"/>
  <c r="L4" i="1"/>
  <c r="S4" i="1" s="1"/>
  <c r="L3" i="1"/>
  <c r="S3" i="1" s="1"/>
  <c r="K3" i="1"/>
  <c r="L94" i="1" l="1"/>
  <c r="L43" i="1"/>
  <c r="L44" i="1"/>
  <c r="L65" i="1"/>
  <c r="L45" i="1"/>
  <c r="L39" i="1"/>
  <c r="L46" i="1"/>
  <c r="L40" i="1"/>
  <c r="L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tc={830DE77D-E619-49C7-8E58-C3EA7CDC4A0B}</author>
    <author>tc={F002DE07-8E12-4CDF-9B32-6F67B3190F6B}</author>
    <author>tc={5BA95674-BE77-4389-BD32-58D22E232953}</author>
    <author>tc={6444D6D9-C5F1-4DCD-AC66-8749F09A70D7}</author>
    <author>tc={764E0667-76FA-4A76-A935-1961D382BDE5}</author>
    <author>tc={41473C6E-9421-4CE7-BC06-D91D396BDEB9}</author>
    <author>tc={893E9D8F-4007-4670-BBFB-52FA4A43A3B2}</author>
    <author>tc={381A55A8-4D7C-49C5-BAD2-77876DDA40C4}</author>
    <author>tc={9DFC4CD3-DA71-4C6E-AC13-8891A108A882}</author>
    <author>tc={818389D4-6A24-4C15-AED1-0F2E0644AEB8}</author>
    <author>tc={C8A159D8-48DF-48BD-8D74-CFDA76AB2437}</author>
    <author>tc={D07A5835-420E-45B3-889E-3C6E34E500E0}</author>
    <author>tc={0198B614-90B9-4430-9388-BC74C2C75C6A}</author>
    <author>tc={372DB2BF-E2A5-4005-AC8E-D9593A77E58C}</author>
    <author>tc={22FF46CB-A88B-4056-BC79-4929DFA4AA8A}</author>
    <author>tc={598745E6-E2FE-4E76-AB1B-E1DF47600338}</author>
    <author>tc={4E08B7AA-EC75-427B-88BB-65ED103E56D8}</author>
    <author>tc={E16950EF-1C1F-429B-B35F-016158F03DBD}</author>
    <author>tc={36725A7B-FCC1-4606-9954-DAC2D017B1D5}</author>
    <author>tc={F45A7C29-619E-40DA-BC47-16C0FBF9C88F}</author>
    <author>tc={3755305A-AB31-4DEB-B2F1-C3F016A401E8}</author>
    <author>tc={11ECFB62-EC30-485D-A955-84AF023D6A6D}</author>
    <author>tc={1C30EB3B-A917-4A7D-B63F-14DEFBE48C7C}</author>
    <author>tc={31B5510E-075C-4028-99EE-85A73DCFEC64}</author>
    <author>tc={AE8661A1-22E7-4751-B0BD-2BB6FE067913}</author>
    <author>tc={C80CD9C2-C1BF-41E8-88DF-A3CA0CE11360}</author>
    <author>tc={81BE214F-AEA5-4281-8C97-48A0228B89F6}</author>
    <author>tc={3E3025DA-73A7-4C81-8D73-0C9D9C37DF0C}</author>
    <author>tc={A38B29C2-EC98-48C9-ACCA-C43336A73828}</author>
    <author>tc={9E89E225-C8F2-4811-BAAF-72FCE57C11A5}</author>
    <author>tc={8FB1B438-7B93-4F0C-9262-9A6F3B897D63}</author>
    <author>tc={9B219404-9B0F-4ACA-9703-31BF47F1309B}</author>
    <author>tc={5BED3A0C-BC72-413A-8019-CF6FCA101806}</author>
    <author>tc={AFA6D074-2F9B-4C9C-9C9D-1EE20F0E6A02}</author>
    <author>tc={F5892E46-8F72-4C62-A1FE-732EF541698E}</author>
    <author>tc={457258E6-B49E-4C5B-91DD-C1583EB43CD8}</author>
    <author>tc={98B86FCD-3F45-448F-B9D3-A91F52EBCAED}</author>
    <author>tc={DAD1F986-12A0-402D-9D2F-C28147744FC1}</author>
    <author>tc={B1E5DFC3-3F54-4CF7-A1DC-16E8507E3394}</author>
    <author>tc={11529BA3-4A37-46C0-93BD-1E74A717CDD7}</author>
    <author>tc={841B136C-688B-46DC-8A91-263A9330963B}</author>
    <author>tc={7A49166D-83F5-42AF-AB5D-65F6823D326C}</author>
    <author>tc={80F8CFF8-6679-40F7-AA4C-934DAB88BF3E}</author>
    <author>tc={33DA37CF-F94A-4DA1-8D79-750E689DC1E9}</author>
    <author>tc={FEA8927E-FA44-4538-8233-B5A40BE8A9AA}</author>
    <author>tc={AA0D86A3-E016-43C9-A504-31633E8F7062}</author>
    <author>tc={0E1900C4-B421-4B78-8086-96B5E37C4E79}</author>
    <author>tc={63F27C93-3B78-4FCE-B2E8-23CBF9932EE2}</author>
    <author>tc={9D4552F6-C13E-48E1-A6E5-90F57DCCCF7A}</author>
    <author>tc={51E876E6-AB49-4D40-8F50-AC73D370A3FB}</author>
    <author>tc={D1B9E05F-A2EB-45B8-AD1E-654E5988C5DB}</author>
    <author>tc={9427B2F5-25CD-412A-A781-DCDB1D7226CD}</author>
    <author>tc={BCB9F327-D11A-4DD0-90CB-1A015CA1EECE}</author>
    <author>tc={597272B0-B0FE-402E-8F41-DC270FEF8F5A}</author>
    <author>tc={F1D53BFC-F052-4AF8-AEAA-94A91D5C2104}</author>
    <author>tc={5B9FBE64-2A72-4939-B948-F8050CE3DF37}</author>
    <author>tc={BD9D05BB-3CFF-4A00-822D-B81FB6A293FA}</author>
    <author>tc={56E8AA1A-1A36-4734-B391-FD5D147381F8}</author>
    <author>tc={4FDADA12-53E2-4195-BC19-9D503F228027}</author>
    <author>tc={43DAF8D0-0EC0-4D30-B7E5-E5FB987C4E26}</author>
    <author>tc={DF9EDB44-723D-4B45-98DB-8530525C7BDE}</author>
    <author>tc={80F769E4-4F34-42DB-8462-5A0EE73C1677}</author>
    <author>tc={ECA687CB-CF9B-40BE-935D-10D680066D4C}</author>
    <author>tc={465E2FC9-4DDF-4F0F-800E-68DF99F95686}</author>
    <author>tc={45BD4704-4512-423D-A4D8-4C7419B3EDEF}</author>
  </authors>
  <commentList>
    <comment ref="Y2" authorId="0" shapeId="0" xr:uid="{EC0D12F8-D7D2-46AB-BDD8-DBEF537240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S3" authorId="1" shapeId="0" xr:uid="{A23999FC-2ACC-4870-8303-BE9706EBFA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pegando da Parcelável por conta do Alagamento</t>
        </r>
      </text>
    </comment>
    <comment ref="Y3" authorId="2" shapeId="0" xr:uid="{6CA691CA-3C21-4506-B136-05D2A04A56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4" authorId="3" shapeId="0" xr:uid="{FE2E6793-082F-4774-89F5-7FA125DD41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5" authorId="4" shapeId="0" xr:uid="{55FB9915-6DF5-4959-BE51-035FBB2145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6" authorId="5" shapeId="0" xr:uid="{726B2D6C-E4C2-47E0-AD65-66DDBC15B4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7" authorId="6" shapeId="0" xr:uid="{D5756B8F-87DC-4C00-BBF1-AD8B8B2644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
Responder:
    22/08/2014 - Data da Integralização</t>
        </r>
      </text>
    </comment>
    <comment ref="Y8" authorId="7" shapeId="0" xr:uid="{BD427E5D-08A3-49A9-B1E9-421F0D6F0F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09/12/2015 - Data da Integralização</t>
        </r>
      </text>
    </comment>
    <comment ref="Y9" authorId="8" shapeId="0" xr:uid="{3D8BD2C2-2212-4B5A-97D8-4EF9FD813F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21/09/2016 - Data da Integralização</t>
        </r>
      </text>
    </comment>
    <comment ref="Y10" authorId="9" shapeId="0" xr:uid="{D2AFF477-DBF9-482F-9CA1-3783A7DF92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21/09/2016 - Data da Integralização</t>
        </r>
      </text>
    </comment>
    <comment ref="Y11" authorId="10" shapeId="0" xr:uid="{3016E42B-048B-46C8-B242-84A64EF220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12" authorId="11" shapeId="0" xr:uid="{4024D9F1-BC6B-4792-8363-1368B1A484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13" authorId="12" shapeId="0" xr:uid="{DFA476C1-BD06-452D-91DF-63E0DEACB1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14" authorId="13" shapeId="0" xr:uid="{7CE6024E-3C55-49F6-836F-163855AC7A8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15" authorId="14" shapeId="0" xr:uid="{68BFDCA4-D1CF-45FF-9BF7-B443AA3086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Assinatura do Termo de Compromisso</t>
        </r>
      </text>
    </comment>
    <comment ref="Z15" authorId="15" shapeId="0" xr:uid="{0CB7DE85-E51E-40BA-90BF-897E5F5317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processo de retificação</t>
        </r>
      </text>
    </comment>
    <comment ref="Y16" authorId="16" shapeId="0" xr:uid="{A3F6C28A-5266-45D9-8E68-424711971C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Assinatura do Termo de Compromisso</t>
        </r>
      </text>
    </comment>
    <comment ref="Z17" authorId="17" shapeId="0" xr:uid="{D840D241-28D6-4142-BDF1-36F749BE69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da Licença de Instalação citada na Matricula no ato do Registro</t>
        </r>
      </text>
    </comment>
    <comment ref="AC17" authorId="18" shapeId="0" xr:uid="{5671D4F3-3D17-4822-93BA-022FA35DDE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Y20" authorId="19" shapeId="0" xr:uid="{F3AA91D6-B9F9-479D-A960-35E23E1159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contrato de parceria
Ver com Bruno se comprou a terra com os projetos</t>
        </r>
      </text>
    </comment>
    <comment ref="AC20" authorId="20" shapeId="0" xr:uid="{4F5DA45F-A78A-4D75-A0ED-90B67AFA88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21" authorId="21" shapeId="0" xr:uid="{FBB1EF59-0A28-4493-9411-38A8FA1460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22" authorId="22" shapeId="0" xr:uid="{841A617E-74A3-4810-A2D1-988CDF3923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Y23" authorId="23" shapeId="0" xr:uid="{48689386-0421-4B10-961A-711EA5A078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Integralização na Junta Comercial</t>
        </r>
      </text>
    </comment>
    <comment ref="AC24" authorId="24" shapeId="0" xr:uid="{AA840B6C-974D-4812-A5A2-E05C9FB85A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25" authorId="25" shapeId="0" xr:uid="{F5403041-02F5-482B-9397-873C5DE9FE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27" authorId="26" shapeId="0" xr:uid="{A40ECEE7-916A-4EDD-9B72-86AC1BB8F9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33" authorId="27" shapeId="0" xr:uid="{5CDCA5DC-E10C-4B76-B8AC-F737582C2D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34" authorId="28" shapeId="0" xr:uid="{60ABD922-2DE3-4F70-BEBC-22C1750826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35" authorId="29" shapeId="0" xr:uid="{1E936ABD-AA33-408A-BC1B-5C8F768D2B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BO37" authorId="30" shapeId="0" xr:uid="{CA042CDE-0BF1-44F2-8803-1FB15AFCCF5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Linear de Trecho</t>
        </r>
      </text>
    </comment>
    <comment ref="BP37" authorId="31" shapeId="0" xr:uid="{EB5B726C-1452-4934-9247-BCA5923CC6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Linear de Trecho</t>
        </r>
      </text>
    </comment>
    <comment ref="AC48" authorId="32" shapeId="0" xr:uid="{50D4922D-6771-47E0-87EB-24921805D95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49" authorId="33" shapeId="0" xr:uid="{D0F72DE0-D450-49FF-A297-FEECB1BBA6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Y56" authorId="34" shapeId="0" xr:uid="{3B759311-144A-42C2-9202-C39E06901F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assinatura do contrato de Parceria</t>
        </r>
      </text>
    </comment>
    <comment ref="Y57" authorId="35" shapeId="0" xr:uid="{1F829FF1-2D34-4252-8A80-653227A770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assinatura do contrato de Parceria</t>
        </r>
      </text>
    </comment>
    <comment ref="Y58" authorId="36" shapeId="0" xr:uid="{376D042C-78C2-4362-B407-506EF72150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assinatura do contrato de Parceria</t>
        </r>
      </text>
    </comment>
    <comment ref="AC63" authorId="37" shapeId="0" xr:uid="{706785C3-63FD-4ED2-A3C1-E9B61530EC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Y67" authorId="38" shapeId="0" xr:uid="{358A1F61-EF6E-49F2-A8CF-B175E59857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Contrato de Parceria</t>
        </r>
      </text>
    </comment>
    <comment ref="Z67" authorId="39" shapeId="0" xr:uid="{E34DE825-27BB-4964-8B5B-C263DCE35F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real do Decreto 01/06/1984, foi adotado a data do contrato de parceria pois o empreendimento foi adquirido já documentado</t>
        </r>
      </text>
    </comment>
    <comment ref="AC71" authorId="40" shapeId="0" xr:uid="{232D36F9-F383-43BE-A4B4-04C2F05DFC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72" authorId="41" shapeId="0" xr:uid="{623A2A0C-CD00-4585-9FBD-891EA4C5F0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73" authorId="42" shapeId="0" xr:uid="{F30A84F9-433A-4A28-BC5B-B9F92EB403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78" authorId="43" shapeId="0" xr:uid="{B63C69DA-17E6-40EC-8BA2-7BCFBE4008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79" authorId="44" shapeId="0" xr:uid="{D68339F4-F41B-4964-B4CE-0D2922C351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AC80" authorId="45" shapeId="0" xr:uid="{B825DFEA-F1E9-466B-89D4-B5ECC69541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Admitido que não vamos obter TVO visto que o empreendimento é muito antigo</t>
        </r>
      </text>
    </comment>
    <comment ref="K91" authorId="46" shapeId="0" xr:uid="{E580B4B1-560F-48A8-9985-3FB56419C8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Precisa confirmar</t>
        </r>
      </text>
    </comment>
    <comment ref="Y91" authorId="47" shapeId="0" xr:uid="{024B27D7-A4CB-489D-93E6-63B41F4473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19/02/2025 - Data de assinatura do Contrato de Parceria</t>
        </r>
      </text>
    </comment>
    <comment ref="K95" authorId="48" shapeId="0" xr:uid="{283CE880-1ABB-4F4F-8159-74DB4D326C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 da Gleba + Área da APP</t>
        </r>
      </text>
    </comment>
    <comment ref="Y97" authorId="49" shapeId="0" xr:uid="{60CA8969-CA1D-447F-B642-81279F937C7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Termo de Parceria</t>
        </r>
      </text>
    </comment>
    <comment ref="Y100" authorId="50" shapeId="0" xr:uid="{6D930050-D4B7-433C-B91B-65608D8068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Termo de Parceria</t>
        </r>
      </text>
    </comment>
    <comment ref="Y115" authorId="51" shapeId="0" xr:uid="{D7518619-8E44-498B-80A1-78DD14A98C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Termo de Parceria</t>
        </r>
      </text>
    </comment>
    <comment ref="Y116" authorId="52" shapeId="0" xr:uid="{48997F60-5FBA-4E07-95DD-C85865E649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Contrato de Parceria</t>
        </r>
      </text>
    </comment>
    <comment ref="Y122" authorId="53" shapeId="0" xr:uid="{6F69486F-CF31-4E93-8DE1-871C14B848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Assinatura do Termo de Parceria</t>
        </r>
      </text>
    </comment>
    <comment ref="O133" authorId="54" shapeId="0" xr:uid="{098ADF8F-00C5-4F56-ABA6-188307ADB1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Foram feitos desmembramentos de áreas para compor a área exigida</t>
        </r>
      </text>
    </comment>
    <comment ref="T136" authorId="55" shapeId="0" xr:uid="{C9B91574-BAAD-499B-9CB9-3C29664D53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contabilizado os 120 Lotes Públicos</t>
        </r>
      </text>
    </comment>
    <comment ref="V137" authorId="56" shapeId="0" xr:uid="{9A62CF22-D701-4040-B8FD-F609AFA8E0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contando os 155 lotes de interesse social</t>
        </r>
      </text>
    </comment>
    <comment ref="T139" authorId="57" shapeId="0" xr:uid="{7EB7578D-AC31-4302-B95B-81D63F381A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contabilizado os 6 Lotes Públicos</t>
        </r>
      </text>
    </comment>
    <comment ref="T140" authorId="58" shapeId="0" xr:uid="{C8D742B9-73CF-40F5-9554-20B1496CE4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contabilizado os 5 Lotes Públicos</t>
        </r>
      </text>
    </comment>
    <comment ref="T141" authorId="59" shapeId="0" xr:uid="{4C2D4D88-0CAF-4800-B1A1-973FA8B861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contabilizado os 4 Lotes Públicos</t>
        </r>
      </text>
    </comment>
    <comment ref="O148" authorId="60" shapeId="0" xr:uid="{ADEE074B-C59A-4414-A67D-3076D1F0EF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somando Áreas Dominiais e Áreas de Habitação Social</t>
        </r>
      </text>
    </comment>
    <comment ref="T159" authorId="61" shapeId="0" xr:uid="{AC995EC2-2775-4E68-A5C6-F135E04745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contabilizado os 92 Lotes Públicos</t>
        </r>
      </text>
    </comment>
    <comment ref="T160" authorId="62" shapeId="0" xr:uid="{4A626481-C6D2-4402-9E6B-809E85765D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contabilizado os 07 Lotes Públicos</t>
        </r>
      </text>
    </comment>
    <comment ref="Y165" authorId="63" shapeId="0" xr:uid="{DFD0C6B3-6EF2-4ECE-A9C3-DF145F0E49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Termo de Parceria</t>
        </r>
      </text>
    </comment>
    <comment ref="Z165" authorId="64" shapeId="0" xr:uid="{71081A41-6E9B-45A2-BA37-D687273C0A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Empreendimento Adquirido com Decreto
20/09/2010 - Decreto do Empreendimento</t>
        </r>
      </text>
    </comment>
  </commentList>
</comments>
</file>

<file path=xl/sharedStrings.xml><?xml version="1.0" encoding="utf-8"?>
<sst xmlns="http://schemas.openxmlformats.org/spreadsheetml/2006/main" count="1652" uniqueCount="357">
  <si>
    <t>ID</t>
  </si>
  <si>
    <t>EMPRESA</t>
  </si>
  <si>
    <t>OBRA</t>
  </si>
  <si>
    <t>PAÍS</t>
  </si>
  <si>
    <t>UF</t>
  </si>
  <si>
    <t>UF_EXTENSO</t>
  </si>
  <si>
    <t>MUNICÍPIO</t>
  </si>
  <si>
    <t>EMPREENDIMENTO</t>
  </si>
  <si>
    <t>LATITUDE</t>
  </si>
  <si>
    <t>LONGITUDE</t>
  </si>
  <si>
    <t>8401P</t>
  </si>
  <si>
    <t>BRASIL</t>
  </si>
  <si>
    <t>AP</t>
  </si>
  <si>
    <t>AMAPA</t>
  </si>
  <si>
    <t>MACAPÁ</t>
  </si>
  <si>
    <t>RESIDENCIAL ACQUAVILLE CASTANHEIRAS</t>
  </si>
  <si>
    <t>REMANESCENTE ÚTIL I</t>
  </si>
  <si>
    <t>REMANESCENTE ÚTIL II</t>
  </si>
  <si>
    <t>REMANESCENTE ÚTIL III</t>
  </si>
  <si>
    <t>REMANESCENTE ÚTIL IV</t>
  </si>
  <si>
    <t>2701P</t>
  </si>
  <si>
    <t>SANTANA</t>
  </si>
  <si>
    <t>RESIDENCIAL ACQUAVILLE TUCUNARÉ</t>
  </si>
  <si>
    <t>3401P</t>
  </si>
  <si>
    <t>RESIDENCIAL ACQUAVILLE GAROUPA</t>
  </si>
  <si>
    <t>3502P</t>
  </si>
  <si>
    <t>RESIDENCIAL ACQUAVILLE TAMBAQUI</t>
  </si>
  <si>
    <t>3602P</t>
  </si>
  <si>
    <t>RESIDENCIAL ACQUAVILLE DOURADO</t>
  </si>
  <si>
    <t>8001P</t>
  </si>
  <si>
    <t>BA</t>
  </si>
  <si>
    <t>BAHIA</t>
  </si>
  <si>
    <t>EUNÁPOLIS</t>
  </si>
  <si>
    <t>RESIDENCIAL COLINA PARK</t>
  </si>
  <si>
    <t>RESIDENCIAL COLINA PARK II</t>
  </si>
  <si>
    <t>ÁREA III</t>
  </si>
  <si>
    <t>ÁREA IV</t>
  </si>
  <si>
    <t>8101P</t>
  </si>
  <si>
    <t>TEIXEIRA DE FREITAS</t>
  </si>
  <si>
    <t>RESIDENCIAL GREENVILLE</t>
  </si>
  <si>
    <t>RESIDENCIAL GREENVILLE II</t>
  </si>
  <si>
    <t>0301P</t>
  </si>
  <si>
    <t>GO</t>
  </si>
  <si>
    <t>GOIAS</t>
  </si>
  <si>
    <t>BOM JESUS</t>
  </si>
  <si>
    <t>RESIDENCIAL TROPICAL</t>
  </si>
  <si>
    <t>4101P</t>
  </si>
  <si>
    <t>CERES</t>
  </si>
  <si>
    <t>RESIDENCIAL/COMERCIAL TROPICAL</t>
  </si>
  <si>
    <t>RESIDENCIAL/COMERCIAL TROPICAL I</t>
  </si>
  <si>
    <t>RESIDENCIAL/COMERCIAL TROPICAL II</t>
  </si>
  <si>
    <t>0203P</t>
  </si>
  <si>
    <t>ITAPACI</t>
  </si>
  <si>
    <t>RESIDENCIAL ESPLANADA</t>
  </si>
  <si>
    <t>0103P</t>
  </si>
  <si>
    <t>RESIDENCIAL JARDIM TROPICAL</t>
  </si>
  <si>
    <t>0201P</t>
  </si>
  <si>
    <t>RESIDENCIAL PLANALTO</t>
  </si>
  <si>
    <t>0202P</t>
  </si>
  <si>
    <t>RESIDENCIAL PLANALTO - 2ª ETAPA</t>
  </si>
  <si>
    <t>0401P</t>
  </si>
  <si>
    <t>NIQUELÂNDIA</t>
  </si>
  <si>
    <t>NOVO GAMA</t>
  </si>
  <si>
    <t>3101P</t>
  </si>
  <si>
    <t>RESIDENCIAL GREENVILLE I</t>
  </si>
  <si>
    <t>4001P</t>
  </si>
  <si>
    <t>0901P</t>
  </si>
  <si>
    <t>POSSE</t>
  </si>
  <si>
    <t>RESIDENCIAL BELA VISTA</t>
  </si>
  <si>
    <t>0902P</t>
  </si>
  <si>
    <t>RESIDENCIAL BELA VISTA I</t>
  </si>
  <si>
    <t>0903P</t>
  </si>
  <si>
    <t>RESIDENCIAL BELA VISTA II</t>
  </si>
  <si>
    <t>LOTES (CEMITÉRIO)</t>
  </si>
  <si>
    <t>0811P</t>
  </si>
  <si>
    <t>RESIDENCIAL BELA VISTA III</t>
  </si>
  <si>
    <t>REMANESCENTE - BELA VISTA III</t>
  </si>
  <si>
    <t>NOVA POSSE I - M26298</t>
  </si>
  <si>
    <t>NOVA POSSE II - M26298</t>
  </si>
  <si>
    <t>NOVA POSSE III - M26298</t>
  </si>
  <si>
    <t>NOVA POSSE IV - M26298</t>
  </si>
  <si>
    <t>NOVA POSSE V - M26298</t>
  </si>
  <si>
    <t>NOVA POSSE VI - M26298</t>
  </si>
  <si>
    <t>NOVA POSSE VII - M26112</t>
  </si>
  <si>
    <t>NOVA POSSE VIII - M26113</t>
  </si>
  <si>
    <t>NOVA POSSE IX - M26111</t>
  </si>
  <si>
    <t>0502P</t>
  </si>
  <si>
    <t>RUBIATABA</t>
  </si>
  <si>
    <t>RESIDENCIAL BEM-TE-VI</t>
  </si>
  <si>
    <t>0501P</t>
  </si>
  <si>
    <t>RESIDENCIAL PALMEIRAS</t>
  </si>
  <si>
    <t>0701P</t>
  </si>
  <si>
    <t>MA</t>
  </si>
  <si>
    <t>MARANHAO</t>
  </si>
  <si>
    <t>AÇAILÂNDIA</t>
  </si>
  <si>
    <t>0113P</t>
  </si>
  <si>
    <t>BARRA DO CORDA</t>
  </si>
  <si>
    <t>0109P</t>
  </si>
  <si>
    <t>RESIDENCIAL BELLA VISTA</t>
  </si>
  <si>
    <t>0601P</t>
  </si>
  <si>
    <t>RESIDENCIAL MARANATA</t>
  </si>
  <si>
    <t>2401P</t>
  </si>
  <si>
    <t>CHAPADINHA</t>
  </si>
  <si>
    <t>0105P</t>
  </si>
  <si>
    <t>COLINAS</t>
  </si>
  <si>
    <t>RESIDENCIAL ALTO DA COLINA</t>
  </si>
  <si>
    <t>IMPERATRIZ</t>
  </si>
  <si>
    <t>ÁREA DA CERÂMICA I</t>
  </si>
  <si>
    <t>ÁREA DA CERÂMICA II</t>
  </si>
  <si>
    <t>ÁREA DA CERÂMICA III</t>
  </si>
  <si>
    <t>1901P</t>
  </si>
  <si>
    <t>0812P</t>
  </si>
  <si>
    <t>0823P</t>
  </si>
  <si>
    <t>ITAPECURU MIRIM</t>
  </si>
  <si>
    <t>0102P</t>
  </si>
  <si>
    <t>PRESIDENTE DUTRA</t>
  </si>
  <si>
    <t>0110P</t>
  </si>
  <si>
    <t>ÁREA GALEGO</t>
  </si>
  <si>
    <t>NOVA ÁREA</t>
  </si>
  <si>
    <t>6501P</t>
  </si>
  <si>
    <t>SANTA INÊS</t>
  </si>
  <si>
    <t>RESIDENCIAL CARAJÁS</t>
  </si>
  <si>
    <t>2001P</t>
  </si>
  <si>
    <t>4401P</t>
  </si>
  <si>
    <t>0106P</t>
  </si>
  <si>
    <t>SÃO DOMINGOS</t>
  </si>
  <si>
    <t>0803P</t>
  </si>
  <si>
    <t>MG</t>
  </si>
  <si>
    <t>MINAS GERAIS</t>
  </si>
  <si>
    <t>COROMANDEL</t>
  </si>
  <si>
    <t>RESIDENCIAL VALE DO SOL</t>
  </si>
  <si>
    <t>1001P</t>
  </si>
  <si>
    <t>MS</t>
  </si>
  <si>
    <t>MATO GROSSO DO SUL</t>
  </si>
  <si>
    <t>CHAPADÃO DO SUL</t>
  </si>
  <si>
    <t>1002P</t>
  </si>
  <si>
    <t>RESIDENCIAL PLANALTO EXPANSÃO</t>
  </si>
  <si>
    <t>4905P</t>
  </si>
  <si>
    <t>7602P</t>
  </si>
  <si>
    <t>6610P</t>
  </si>
  <si>
    <t>EMPRESARIAL TROPICAL</t>
  </si>
  <si>
    <t>6609P</t>
  </si>
  <si>
    <t>0804P</t>
  </si>
  <si>
    <t>RESIDENCIAL ESPLANADA I</t>
  </si>
  <si>
    <t>2901P</t>
  </si>
  <si>
    <t>RESIDENCIAL ESPLANADA III</t>
  </si>
  <si>
    <t>5353P</t>
  </si>
  <si>
    <t>RESIDENCIAL ESPLANADA IV</t>
  </si>
  <si>
    <t>0814P</t>
  </si>
  <si>
    <t>RESIDENCIAL ESPLANADA V</t>
  </si>
  <si>
    <t>0817P</t>
  </si>
  <si>
    <t>0816P</t>
  </si>
  <si>
    <t>RESIDENCIAL DAS PALMEIRAS</t>
  </si>
  <si>
    <t>6611P</t>
  </si>
  <si>
    <t>DOURADOS</t>
  </si>
  <si>
    <t>2801P</t>
  </si>
  <si>
    <t>2802P</t>
  </si>
  <si>
    <t>2804P</t>
  </si>
  <si>
    <t>LOTES ILDEFONSO PEDROSO</t>
  </si>
  <si>
    <t>AREA PARCERIA</t>
  </si>
  <si>
    <t>SIDROLÂNDIA</t>
  </si>
  <si>
    <t>ÁREA REMANESCENTE I</t>
  </si>
  <si>
    <t>ÁREA REMANESCENTE II</t>
  </si>
  <si>
    <t>6605P</t>
  </si>
  <si>
    <t>MT</t>
  </si>
  <si>
    <t>MATO GROSSO</t>
  </si>
  <si>
    <t>ÁGUA BOA</t>
  </si>
  <si>
    <t>RESIDENCIAL DO LAGO</t>
  </si>
  <si>
    <t>0821P</t>
  </si>
  <si>
    <t>ARIPUANÃ</t>
  </si>
  <si>
    <t>0833P</t>
  </si>
  <si>
    <t>CAMPO VERDE</t>
  </si>
  <si>
    <t>REMANESCENTE COLINA PARK</t>
  </si>
  <si>
    <t>3001P</t>
  </si>
  <si>
    <t>5601P</t>
  </si>
  <si>
    <t>5201P</t>
  </si>
  <si>
    <t>RESIDENCIAL GREENVILLE III</t>
  </si>
  <si>
    <t>AREA - RESIDENCIAL GREENVILLE IV</t>
  </si>
  <si>
    <t>AREA - RESIDENCIAL GREENVILLE V</t>
  </si>
  <si>
    <t>AREA - RESIDENCIAL GREENVILLE VI</t>
  </si>
  <si>
    <t>AREA - RESIDENCIAL GREENVILLE VII</t>
  </si>
  <si>
    <t>AREA - RESIDENCIAL GREENVILLE VIII</t>
  </si>
  <si>
    <t>AREA - RESIDENCIAL GREENVILLE IX</t>
  </si>
  <si>
    <t>0809P</t>
  </si>
  <si>
    <t>CONFRESA</t>
  </si>
  <si>
    <t>0826P</t>
  </si>
  <si>
    <t>LOTES DESDOBRO</t>
  </si>
  <si>
    <t>REMANESCENTE COLINA PARK II</t>
  </si>
  <si>
    <t>ÁREA GASPAR</t>
  </si>
  <si>
    <t>0829P</t>
  </si>
  <si>
    <t>MATUPÁ</t>
  </si>
  <si>
    <t>6606P</t>
  </si>
  <si>
    <t>QUERÊNCIA</t>
  </si>
  <si>
    <t>6607P</t>
  </si>
  <si>
    <t>6608P</t>
  </si>
  <si>
    <t>7901P</t>
  </si>
  <si>
    <t>RESIDENCIAL PLANALTO II</t>
  </si>
  <si>
    <t>8601P</t>
  </si>
  <si>
    <t>RESIDENCIAL PLANALTO III</t>
  </si>
  <si>
    <t>8501P</t>
  </si>
  <si>
    <t>0828P</t>
  </si>
  <si>
    <t>RESIDENCIAL DO LAGO II</t>
  </si>
  <si>
    <t>ÁREA HENRIQUE EBELING</t>
  </si>
  <si>
    <t>0810P</t>
  </si>
  <si>
    <t>VILA RICA</t>
  </si>
  <si>
    <t>7005P</t>
  </si>
  <si>
    <t>RO</t>
  </si>
  <si>
    <t>RONDONIA</t>
  </si>
  <si>
    <t>ARIQUEMES</t>
  </si>
  <si>
    <t>ÁREA DO SHOPPING</t>
  </si>
  <si>
    <t>ÁREA 18 HECTARES</t>
  </si>
  <si>
    <t>3301P</t>
  </si>
  <si>
    <t>CACOAL</t>
  </si>
  <si>
    <t>1302P</t>
  </si>
  <si>
    <t>CONDOMÍNIO PARQUE SAVANA</t>
  </si>
  <si>
    <t>2201P</t>
  </si>
  <si>
    <t>2101P</t>
  </si>
  <si>
    <t>2102P</t>
  </si>
  <si>
    <t>2103P</t>
  </si>
  <si>
    <t>RESIDENCIAL GREENVILLE IV</t>
  </si>
  <si>
    <t>1601P</t>
  </si>
  <si>
    <t>JARÚ</t>
  </si>
  <si>
    <t>RESIDENCIAL SAVANA PARK</t>
  </si>
  <si>
    <t>1501P</t>
  </si>
  <si>
    <t>JI PARANÁ</t>
  </si>
  <si>
    <t>RESIDENCIAL COLINA PARK I</t>
  </si>
  <si>
    <t>1502P</t>
  </si>
  <si>
    <t>1301P</t>
  </si>
  <si>
    <t>RESIDENCIAL PARK AMAZONAS</t>
  </si>
  <si>
    <t>5501P</t>
  </si>
  <si>
    <t>5502P</t>
  </si>
  <si>
    <t>4903P</t>
  </si>
  <si>
    <t>7401P</t>
  </si>
  <si>
    <t>7601P</t>
  </si>
  <si>
    <t>RESIDENCIAL GREENVILLE V</t>
  </si>
  <si>
    <t>RESIDENCIAL GREENVILLE VI</t>
  </si>
  <si>
    <t>3701P</t>
  </si>
  <si>
    <t>MACHADINHO D´OESTE</t>
  </si>
  <si>
    <t>1201P</t>
  </si>
  <si>
    <t>OURO PRETO DO OESTE</t>
  </si>
  <si>
    <t>2301P</t>
  </si>
  <si>
    <t>0807P</t>
  </si>
  <si>
    <t>PIMENTA BUENO</t>
  </si>
  <si>
    <t>2501P</t>
  </si>
  <si>
    <t>PORTO VELHO</t>
  </si>
  <si>
    <t>2601P</t>
  </si>
  <si>
    <t>3201P</t>
  </si>
  <si>
    <t>0822P</t>
  </si>
  <si>
    <t>RESIDENCIAL TROPICAL II</t>
  </si>
  <si>
    <t>ÁREA 15 DE NOVEMBRO</t>
  </si>
  <si>
    <t>1701P</t>
  </si>
  <si>
    <t>PRESIDENTE MÉDICI</t>
  </si>
  <si>
    <t>0802P</t>
  </si>
  <si>
    <t>ROLIM DE MOURA</t>
  </si>
  <si>
    <t>1801P</t>
  </si>
  <si>
    <t>RESIDENCIAL JEQUITIBÁ</t>
  </si>
  <si>
    <t>0801P</t>
  </si>
  <si>
    <t>1101P</t>
  </si>
  <si>
    <t>VILHENA</t>
  </si>
  <si>
    <t>RESIDENCIAL BARÃO DO MELGAÇO I</t>
  </si>
  <si>
    <t>1102P</t>
  </si>
  <si>
    <t>RESIDENCIAL BARÃO DO MELGAÇO II</t>
  </si>
  <si>
    <t>1103P</t>
  </si>
  <si>
    <t>RESIDENCIAL BARÃO DO MELGAÇO III</t>
  </si>
  <si>
    <t>1104P</t>
  </si>
  <si>
    <t>RESIDENCIAL BARÃO DO MELGAÇO IV</t>
  </si>
  <si>
    <t>1401P</t>
  </si>
  <si>
    <t>RESIDENCIAL MOYSES DE FREITAS</t>
  </si>
  <si>
    <t>0806P</t>
  </si>
  <si>
    <t>TO</t>
  </si>
  <si>
    <t>TOCANTINS</t>
  </si>
  <si>
    <t>SÃO MIGUEL DO TOCANTINS</t>
  </si>
  <si>
    <t>ÁREA DA GLEBA
(M²)</t>
  </si>
  <si>
    <t>ÁREA PARCELÁVEL
(M²)</t>
  </si>
  <si>
    <t>ÁREA DE LOTES
(M²)</t>
  </si>
  <si>
    <t>RESERVA DO PROPRIETÁRIO
(M²)</t>
  </si>
  <si>
    <t>ÁREAS PÚBLICAS
(M²)</t>
  </si>
  <si>
    <t>ÁREA DE VIÁRIO
(M²)</t>
  </si>
  <si>
    <t>ÁREA VERDE
(M²)</t>
  </si>
  <si>
    <t>Nº LOTES PROSP</t>
  </si>
  <si>
    <t>Nº LOTES LAND BANK</t>
  </si>
  <si>
    <t>Nº LOTES</t>
  </si>
  <si>
    <t>Nº QUADRAS</t>
  </si>
  <si>
    <t>Nº LOTES APOS RETIF</t>
  </si>
  <si>
    <t>Nº QUADRAS APOS RETIF</t>
  </si>
  <si>
    <t>Nº LOTES EXCLUIDOS</t>
  </si>
  <si>
    <t>DATA
AQUISIÇÃO DA ÁREA</t>
  </si>
  <si>
    <t>DATA
DECRETO</t>
  </si>
  <si>
    <t>DATA
REGISTRO</t>
  </si>
  <si>
    <t>DATA
LANÇAMENTO</t>
  </si>
  <si>
    <t>DATA
RECEBIMENTO DE OBRAS</t>
  </si>
  <si>
    <t>PREVISAO LANÇAMENTO</t>
  </si>
  <si>
    <t>EXTENSÃO DE VIAS
(M)</t>
  </si>
  <si>
    <t>ÁREA DE VIAS
(M²)</t>
  </si>
  <si>
    <t>EXTENSÃO DE GALERIA
(M)</t>
  </si>
  <si>
    <t>EXTENSÃO DE RAMAIS
(M)</t>
  </si>
  <si>
    <t>QTD PV
(UND)</t>
  </si>
  <si>
    <t>QTD CAPTAÇÕES
(UND)</t>
  </si>
  <si>
    <t>EXTENSÃO DE REDE
(M)</t>
  </si>
  <si>
    <t>0838P</t>
  </si>
  <si>
    <t>VAZÃO MÉDIA
(L/s)</t>
  </si>
  <si>
    <t>VAZÃO MÁXIMA DIÁRIA
(L/s)</t>
  </si>
  <si>
    <t>VAZÃO MÁXIMA HORÁRIA
(L/s)</t>
  </si>
  <si>
    <t>VOLUME RESERVATÓRIO APOIADO
(m³)</t>
  </si>
  <si>
    <t>VOLUME RESERVATÓRIO ELEVADO
(m³)</t>
  </si>
  <si>
    <t>INTERLIGADO A REDE PÚBLICA?</t>
  </si>
  <si>
    <t>QTD BOOSTER</t>
  </si>
  <si>
    <t>VAZÃO BOOSTER
(M3/H)</t>
  </si>
  <si>
    <t>QTD POÇOS</t>
  </si>
  <si>
    <t>VAZÃO TOTAL DOS POÇOS
(M3/H)</t>
  </si>
  <si>
    <t>TEMPO DE EXPLOTAÇÃO
(HORAS)</t>
  </si>
  <si>
    <t>NÃO</t>
  </si>
  <si>
    <t>SIM</t>
  </si>
  <si>
    <t>QTD EEE
(UND)</t>
  </si>
  <si>
    <t>VAZÃO EEE 01
(L/s)</t>
  </si>
  <si>
    <t>EXTENSÃO RECALQUE EEE 01
(M)</t>
  </si>
  <si>
    <t>VAZÃO EEE 02
(L/s)</t>
  </si>
  <si>
    <t>EXTENSÃO RECALQUE EEE 02
(M)</t>
  </si>
  <si>
    <t>VAZÃO EEE 03
(L/s)</t>
  </si>
  <si>
    <t>EXTENSÃO RECALQUE EEE 03
(M)</t>
  </si>
  <si>
    <t>VAZÃO EEE 04
(L/s)</t>
  </si>
  <si>
    <t>EXTENSÃO RECALQUE EEE 04
(M)</t>
  </si>
  <si>
    <t>VAZÃO EEE 05
(L/s)</t>
  </si>
  <si>
    <t>EXTENSÃO RECALQUE EEE 05
(M)</t>
  </si>
  <si>
    <t>QTD ETE
(UND)</t>
  </si>
  <si>
    <t>VAZÃO ETE
(UND)</t>
  </si>
  <si>
    <t>EXTENSÃO DE REDE MT
(M)</t>
  </si>
  <si>
    <t>EXTENSÃO DE REDE BT
(M)</t>
  </si>
  <si>
    <t>QTD POSTES
(UND)</t>
  </si>
  <si>
    <t>QTD POSTES ORNAMENTAL
(UND)</t>
  </si>
  <si>
    <t>QTD TRAFOS 30KVA
(UND)</t>
  </si>
  <si>
    <t>QTD TRAFOS 45KVA
(UND)</t>
  </si>
  <si>
    <t>QTD TRAFOS 75KVA
(UND)</t>
  </si>
  <si>
    <t>QTD TRAFOS 112KVA
(UND)</t>
  </si>
  <si>
    <t>QTD TRAFOS 150KVA
(UND)</t>
  </si>
  <si>
    <t>QTD ARVORES
(UND)</t>
  </si>
  <si>
    <t>ANALISTA URBANISMO</t>
  </si>
  <si>
    <t>ANALISTA LEGALIZAÇÃO</t>
  </si>
  <si>
    <t>ANALISTA PROJETOS</t>
  </si>
  <si>
    <t>STATUS GERAL</t>
  </si>
  <si>
    <t>JEAN SAMPAIO</t>
  </si>
  <si>
    <t>ELIANE NUNES</t>
  </si>
  <si>
    <t>PEDRO JUNIOR</t>
  </si>
  <si>
    <t>02_EM APROVAÇÃO</t>
  </si>
  <si>
    <t>00_LAND BANK</t>
  </si>
  <si>
    <t>-</t>
  </si>
  <si>
    <t>07_DOADO</t>
  </si>
  <si>
    <t>MARIANA MENDONÇA</t>
  </si>
  <si>
    <t>04_EM IMPLANTAÇÃO</t>
  </si>
  <si>
    <t>03_APROVADO</t>
  </si>
  <si>
    <t>01_ESTUDOS INICIAIS</t>
  </si>
  <si>
    <t>RAFAEL SANTOS</t>
  </si>
  <si>
    <t>05_IMPLANTADO</t>
  </si>
  <si>
    <t>WELLINGTON MENEZES</t>
  </si>
  <si>
    <t>06_EM REGULARIZAÇÃO</t>
  </si>
  <si>
    <t>IASMIM FEITOSA</t>
  </si>
  <si>
    <t>GLEIDSON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</si>
</sst>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 applyAlignment="1">
      <alignment horizontal="center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3" fontId="0" fillId="3" borderId="0" xfId="1" applyFont="1" applyFill="1" applyAlignment="1">
      <alignment horizontal="center" vertical="center" wrapText="1"/>
    </xf>
    <xf numFmtId="43" fontId="0" fillId="3" borderId="0" xfId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43" fontId="0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43" fontId="0" fillId="4" borderId="0" xfId="1" applyFont="1" applyFill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/>
    </xf>
    <xf numFmtId="43" fontId="2" fillId="3" borderId="0" xfId="1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0" fillId="5" borderId="0" xfId="1" applyNumberFormat="1" applyFont="1" applyFill="1" applyAlignment="1">
      <alignment horizontal="center" vertical="center"/>
    </xf>
    <xf numFmtId="43" fontId="0" fillId="0" borderId="0" xfId="1" applyFont="1"/>
    <xf numFmtId="43" fontId="0" fillId="2" borderId="0" xfId="1" applyFon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2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2" borderId="0" xfId="0" applyFill="1"/>
    <xf numFmtId="14" fontId="2" fillId="2" borderId="0" xfId="0" applyNumberFormat="1" applyFont="1" applyFill="1"/>
    <xf numFmtId="14" fontId="0" fillId="0" borderId="0" xfId="0" applyNumberFormat="1" applyAlignment="1">
      <alignment horizontal="center"/>
    </xf>
    <xf numFmtId="43" fontId="0" fillId="0" borderId="0" xfId="1" applyFont="1" applyFill="1"/>
    <xf numFmtId="164" fontId="0" fillId="0" borderId="0" xfId="1" applyNumberFormat="1" applyFont="1"/>
    <xf numFmtId="43" fontId="0" fillId="0" borderId="0" xfId="0" applyNumberFormat="1"/>
    <xf numFmtId="43" fontId="4" fillId="3" borderId="0" xfId="1" applyFont="1" applyFill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164" fontId="0" fillId="2" borderId="0" xfId="1" applyNumberFormat="1" applyFont="1" applyFill="1" applyAlignment="1">
      <alignment vertical="center"/>
    </xf>
    <xf numFmtId="43" fontId="0" fillId="2" borderId="0" xfId="1" applyFont="1" applyFill="1" applyAlignment="1">
      <alignment vertical="center"/>
    </xf>
    <xf numFmtId="43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43" fontId="0" fillId="0" borderId="0" xfId="0" applyNumberForma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BF10-B93E-45CB-832F-91FECE3B6A6B}">
  <dimension ref="A1:CB166"/>
  <sheetViews>
    <sheetView tabSelected="1" topLeftCell="AD1" workbookViewId="0">
      <selection activeCell="BY1" sqref="BY1:CB1048576"/>
    </sheetView>
  </sheetViews>
  <sheetFormatPr defaultRowHeight="14.4" x14ac:dyDescent="0.3"/>
  <cols>
    <col min="1" max="1" width="5.6640625" style="3" customWidth="1"/>
    <col min="2" max="3" width="12.6640625" style="5" customWidth="1"/>
    <col min="4" max="4" width="10.44140625" style="5" bestFit="1" customWidth="1"/>
    <col min="5" max="5" width="5.6640625" style="5" customWidth="1"/>
    <col min="6" max="6" width="20.88671875" style="5" bestFit="1" customWidth="1"/>
    <col min="7" max="7" width="30.6640625" style="5" customWidth="1"/>
    <col min="8" max="8" width="40.6640625" style="5" customWidth="1"/>
    <col min="9" max="10" width="15.6640625" customWidth="1"/>
    <col min="11" max="17" width="14.6640625" customWidth="1"/>
    <col min="18" max="20" width="12.6640625" customWidth="1"/>
    <col min="21" max="21" width="12.6640625" style="3" customWidth="1"/>
    <col min="22" max="22" width="12.6640625" customWidth="1"/>
    <col min="23" max="23" width="12.6640625" style="3" customWidth="1"/>
    <col min="24" max="24" width="12.6640625" customWidth="1"/>
    <col min="25" max="26" width="12.6640625" style="3" customWidth="1"/>
    <col min="27" max="27" width="12.6640625" customWidth="1"/>
    <col min="28" max="28" width="13.88671875" style="3" customWidth="1"/>
    <col min="29" max="30" width="13.88671875" style="3" bestFit="1" customWidth="1"/>
    <col min="31" max="36" width="14.6640625" customWidth="1"/>
    <col min="37" max="39" width="15.6640625" style="5" customWidth="1"/>
    <col min="40" max="40" width="14.6640625" customWidth="1"/>
    <col min="41" max="41" width="20.6640625" style="5" customWidth="1"/>
    <col min="42" max="43" width="20.6640625" customWidth="1"/>
    <col min="44" max="44" width="14" bestFit="1" customWidth="1"/>
    <col min="45" max="45" width="16" bestFit="1" customWidth="1"/>
    <col min="46" max="46" width="15.6640625" customWidth="1"/>
    <col min="47" max="48" width="20.6640625" customWidth="1"/>
    <col min="49" max="55" width="15.6640625" customWidth="1"/>
    <col min="56" max="56" width="18.6640625" customWidth="1"/>
    <col min="57" max="57" width="15.6640625" customWidth="1"/>
    <col min="58" max="58" width="18.6640625" customWidth="1"/>
    <col min="59" max="59" width="15.6640625" customWidth="1"/>
    <col min="60" max="60" width="18.6640625" customWidth="1"/>
    <col min="61" max="61" width="15.6640625" customWidth="1"/>
    <col min="62" max="62" width="18.6640625" customWidth="1"/>
    <col min="63" max="63" width="15.6640625" customWidth="1"/>
    <col min="64" max="64" width="18.6640625" customWidth="1"/>
    <col min="65" max="66" width="15.6640625" customWidth="1"/>
    <col min="67" max="75" width="14.6640625" style="3" customWidth="1"/>
    <col min="76" max="76" width="14.6640625" customWidth="1"/>
    <col min="77" max="79" width="25.6640625" customWidth="1"/>
    <col min="80" max="80" width="24.109375" bestFit="1" customWidth="1"/>
  </cols>
  <sheetData>
    <row r="1" spans="1:80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272</v>
      </c>
      <c r="L1" s="2" t="s">
        <v>273</v>
      </c>
      <c r="M1" s="2" t="s">
        <v>274</v>
      </c>
      <c r="N1" s="2" t="s">
        <v>275</v>
      </c>
      <c r="O1" s="2" t="s">
        <v>276</v>
      </c>
      <c r="P1" s="2" t="s">
        <v>277</v>
      </c>
      <c r="Q1" s="2" t="s">
        <v>278</v>
      </c>
      <c r="R1" s="2" t="s">
        <v>279</v>
      </c>
      <c r="S1" s="2" t="s">
        <v>280</v>
      </c>
      <c r="T1" s="2" t="s">
        <v>281</v>
      </c>
      <c r="U1" s="2" t="s">
        <v>282</v>
      </c>
      <c r="V1" s="2" t="s">
        <v>283</v>
      </c>
      <c r="W1" s="2" t="s">
        <v>284</v>
      </c>
      <c r="X1" s="2" t="s">
        <v>285</v>
      </c>
      <c r="Y1" s="2" t="s">
        <v>286</v>
      </c>
      <c r="Z1" s="2" t="s">
        <v>287</v>
      </c>
      <c r="AA1" s="2" t="s">
        <v>288</v>
      </c>
      <c r="AB1" s="2" t="s">
        <v>289</v>
      </c>
      <c r="AC1" s="2" t="s">
        <v>290</v>
      </c>
      <c r="AD1" s="2" t="s">
        <v>291</v>
      </c>
      <c r="AE1" s="2" t="s">
        <v>292</v>
      </c>
      <c r="AF1" s="2" t="s">
        <v>293</v>
      </c>
      <c r="AG1" s="2" t="s">
        <v>294</v>
      </c>
      <c r="AH1" s="2" t="s">
        <v>295</v>
      </c>
      <c r="AI1" s="2" t="s">
        <v>296</v>
      </c>
      <c r="AJ1" s="2" t="s">
        <v>297</v>
      </c>
      <c r="AK1" s="2" t="s">
        <v>300</v>
      </c>
      <c r="AL1" s="2" t="s">
        <v>301</v>
      </c>
      <c r="AM1" s="2" t="s">
        <v>302</v>
      </c>
      <c r="AN1" s="2" t="s">
        <v>298</v>
      </c>
      <c r="AO1" s="2" t="s">
        <v>303</v>
      </c>
      <c r="AP1" s="2" t="s">
        <v>304</v>
      </c>
      <c r="AQ1" s="2" t="s">
        <v>305</v>
      </c>
      <c r="AR1" s="2" t="s">
        <v>306</v>
      </c>
      <c r="AS1" s="2" t="s">
        <v>307</v>
      </c>
      <c r="AT1" s="2" t="s">
        <v>308</v>
      </c>
      <c r="AU1" s="2" t="s">
        <v>309</v>
      </c>
      <c r="AV1" s="2" t="s">
        <v>310</v>
      </c>
      <c r="AW1" s="2" t="s">
        <v>300</v>
      </c>
      <c r="AX1" s="2" t="s">
        <v>301</v>
      </c>
      <c r="AY1" s="2" t="s">
        <v>302</v>
      </c>
      <c r="AZ1" s="2" t="s">
        <v>298</v>
      </c>
      <c r="BA1" s="2" t="s">
        <v>296</v>
      </c>
      <c r="BB1" s="2" t="s">
        <v>313</v>
      </c>
      <c r="BC1" s="2" t="s">
        <v>314</v>
      </c>
      <c r="BD1" s="2" t="s">
        <v>315</v>
      </c>
      <c r="BE1" s="2" t="s">
        <v>316</v>
      </c>
      <c r="BF1" s="2" t="s">
        <v>317</v>
      </c>
      <c r="BG1" s="2" t="s">
        <v>318</v>
      </c>
      <c r="BH1" s="2" t="s">
        <v>319</v>
      </c>
      <c r="BI1" s="2" t="s">
        <v>320</v>
      </c>
      <c r="BJ1" s="2" t="s">
        <v>321</v>
      </c>
      <c r="BK1" s="2" t="s">
        <v>322</v>
      </c>
      <c r="BL1" s="2" t="s">
        <v>323</v>
      </c>
      <c r="BM1" s="2" t="s">
        <v>324</v>
      </c>
      <c r="BN1" s="2" t="s">
        <v>325</v>
      </c>
      <c r="BO1" s="2" t="s">
        <v>326</v>
      </c>
      <c r="BP1" s="2" t="s">
        <v>327</v>
      </c>
      <c r="BQ1" s="2" t="s">
        <v>328</v>
      </c>
      <c r="BR1" s="2" t="s">
        <v>329</v>
      </c>
      <c r="BS1" s="2" t="s">
        <v>330</v>
      </c>
      <c r="BT1" s="2" t="s">
        <v>331</v>
      </c>
      <c r="BU1" s="2" t="s">
        <v>332</v>
      </c>
      <c r="BV1" s="2" t="s">
        <v>333</v>
      </c>
      <c r="BW1" s="2" t="s">
        <v>334</v>
      </c>
      <c r="BX1" s="2" t="s">
        <v>335</v>
      </c>
      <c r="BY1" s="2" t="s">
        <v>336</v>
      </c>
      <c r="BZ1" s="2" t="s">
        <v>337</v>
      </c>
      <c r="CA1" s="2" t="s">
        <v>338</v>
      </c>
      <c r="CB1" s="2" t="s">
        <v>339</v>
      </c>
    </row>
    <row r="2" spans="1:80" x14ac:dyDescent="0.3">
      <c r="A2" s="3">
        <v>1</v>
      </c>
      <c r="B2" s="3">
        <v>143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K2" s="8">
        <v>888341.39</v>
      </c>
      <c r="L2" s="8">
        <v>793799.16</v>
      </c>
      <c r="M2" s="8">
        <v>421980.8</v>
      </c>
      <c r="N2" s="9">
        <v>0</v>
      </c>
      <c r="O2" s="8">
        <v>71333.03</v>
      </c>
      <c r="P2" s="8">
        <v>258630.17</v>
      </c>
      <c r="Q2" s="8">
        <v>41855.160000000003</v>
      </c>
      <c r="R2" s="10">
        <v>0</v>
      </c>
      <c r="S2" s="10">
        <v>0</v>
      </c>
      <c r="T2" s="10">
        <v>1964</v>
      </c>
      <c r="U2" s="10">
        <v>79</v>
      </c>
      <c r="V2" s="10">
        <v>0</v>
      </c>
      <c r="W2" s="10">
        <v>0</v>
      </c>
      <c r="X2" s="10">
        <v>0</v>
      </c>
      <c r="Y2" s="32">
        <v>45331</v>
      </c>
      <c r="AA2" s="33"/>
      <c r="AD2" s="32">
        <v>46539</v>
      </c>
      <c r="AK2" s="3"/>
      <c r="AL2" s="3"/>
      <c r="AM2" s="3"/>
      <c r="AO2" s="3"/>
      <c r="AP2" s="33"/>
      <c r="AQ2" s="33"/>
      <c r="AR2" s="33"/>
      <c r="AS2" s="33"/>
      <c r="AT2" s="33"/>
      <c r="AU2" s="33"/>
      <c r="AV2" s="33"/>
      <c r="BY2" s="14" t="s">
        <v>340</v>
      </c>
      <c r="BZ2" s="14" t="s">
        <v>341</v>
      </c>
      <c r="CA2" s="14" t="s">
        <v>342</v>
      </c>
      <c r="CB2" s="14" t="s">
        <v>343</v>
      </c>
    </row>
    <row r="3" spans="1:80" x14ac:dyDescent="0.3">
      <c r="A3" s="3">
        <v>2</v>
      </c>
      <c r="B3" s="3"/>
      <c r="C3" s="3"/>
      <c r="D3" s="3" t="s">
        <v>11</v>
      </c>
      <c r="E3" s="3" t="s">
        <v>12</v>
      </c>
      <c r="F3" s="3" t="s">
        <v>13</v>
      </c>
      <c r="G3" s="3" t="s">
        <v>14</v>
      </c>
      <c r="H3" s="3" t="s">
        <v>16</v>
      </c>
      <c r="K3" s="11">
        <f>((142.8193+790.1693)*10000)-K2</f>
        <v>8441544.6099999994</v>
      </c>
      <c r="L3" s="11">
        <f>3497112.9/4</f>
        <v>874278.22499999998</v>
      </c>
      <c r="M3" s="11"/>
      <c r="N3" s="12"/>
      <c r="O3" s="11"/>
      <c r="P3" s="11"/>
      <c r="Q3" s="11"/>
      <c r="R3" s="13">
        <v>0</v>
      </c>
      <c r="S3" s="13">
        <f>L3*18/10000</f>
        <v>1573.7008049999999</v>
      </c>
      <c r="T3" s="13"/>
      <c r="U3" s="13"/>
      <c r="V3" s="13">
        <v>0</v>
      </c>
      <c r="W3" s="13">
        <v>0</v>
      </c>
      <c r="X3" s="13">
        <v>0</v>
      </c>
      <c r="Y3" s="34">
        <v>45331</v>
      </c>
      <c r="AA3" s="33"/>
      <c r="AD3" s="32">
        <v>47635</v>
      </c>
      <c r="AK3" s="3"/>
      <c r="AL3" s="3"/>
      <c r="AM3" s="3"/>
      <c r="AO3" s="3"/>
      <c r="AP3" s="33"/>
      <c r="AQ3" s="33"/>
      <c r="AR3" s="33"/>
      <c r="AS3" s="33"/>
      <c r="AT3" s="33"/>
      <c r="AU3" s="33"/>
      <c r="AV3" s="33"/>
      <c r="BY3" s="14"/>
      <c r="BZ3" s="14"/>
      <c r="CA3" s="14"/>
      <c r="CB3" s="14" t="s">
        <v>344</v>
      </c>
    </row>
    <row r="4" spans="1:80" x14ac:dyDescent="0.3">
      <c r="A4" s="3">
        <v>3</v>
      </c>
      <c r="B4" s="3"/>
      <c r="C4" s="3"/>
      <c r="D4" s="3" t="s">
        <v>11</v>
      </c>
      <c r="E4" s="3" t="s">
        <v>12</v>
      </c>
      <c r="F4" s="3" t="s">
        <v>13</v>
      </c>
      <c r="G4" s="3" t="s">
        <v>14</v>
      </c>
      <c r="H4" s="3" t="s">
        <v>17</v>
      </c>
      <c r="K4" s="11"/>
      <c r="L4" s="11">
        <f>3497112.9/4</f>
        <v>874278.22499999998</v>
      </c>
      <c r="M4" s="11"/>
      <c r="N4" s="12"/>
      <c r="O4" s="11"/>
      <c r="P4" s="11"/>
      <c r="Q4" s="11"/>
      <c r="R4" s="13">
        <v>0</v>
      </c>
      <c r="S4" s="13">
        <f t="shared" ref="S4:S6" si="0">L4*18/10000</f>
        <v>1573.7008049999999</v>
      </c>
      <c r="T4" s="13"/>
      <c r="U4" s="13"/>
      <c r="V4" s="13">
        <v>0</v>
      </c>
      <c r="W4" s="13">
        <v>0</v>
      </c>
      <c r="X4" s="13">
        <v>0</v>
      </c>
      <c r="Y4" s="34">
        <v>45331</v>
      </c>
      <c r="AA4" s="33"/>
      <c r="AD4" s="32">
        <v>48731</v>
      </c>
      <c r="AK4" s="3"/>
      <c r="AL4" s="3"/>
      <c r="AM4" s="3"/>
      <c r="AO4" s="3"/>
      <c r="AP4" s="33"/>
      <c r="AQ4" s="33"/>
      <c r="AR4" s="33"/>
      <c r="AS4" s="33"/>
      <c r="AT4" s="33"/>
      <c r="AU4" s="33"/>
      <c r="AV4" s="33"/>
      <c r="BY4" s="14"/>
      <c r="BZ4" s="14"/>
      <c r="CA4" s="14"/>
      <c r="CB4" s="14" t="s">
        <v>344</v>
      </c>
    </row>
    <row r="5" spans="1:80" x14ac:dyDescent="0.3">
      <c r="A5" s="3">
        <v>4</v>
      </c>
      <c r="B5" s="3"/>
      <c r="C5" s="3"/>
      <c r="D5" s="3" t="s">
        <v>11</v>
      </c>
      <c r="E5" s="3" t="s">
        <v>12</v>
      </c>
      <c r="F5" s="3" t="s">
        <v>13</v>
      </c>
      <c r="G5" s="3" t="s">
        <v>14</v>
      </c>
      <c r="H5" s="3" t="s">
        <v>18</v>
      </c>
      <c r="K5" s="11"/>
      <c r="L5" s="11">
        <f>3497112.9/4</f>
        <v>874278.22499999998</v>
      </c>
      <c r="M5" s="11"/>
      <c r="N5" s="12"/>
      <c r="O5" s="11"/>
      <c r="P5" s="11"/>
      <c r="Q5" s="11"/>
      <c r="R5" s="13">
        <v>0</v>
      </c>
      <c r="S5" s="13">
        <f t="shared" si="0"/>
        <v>1573.7008049999999</v>
      </c>
      <c r="T5" s="13"/>
      <c r="U5" s="13"/>
      <c r="V5" s="13">
        <v>0</v>
      </c>
      <c r="W5" s="13">
        <v>0</v>
      </c>
      <c r="X5" s="13">
        <v>0</v>
      </c>
      <c r="Y5" s="34">
        <v>45331</v>
      </c>
      <c r="AA5" s="33"/>
      <c r="AD5" s="32">
        <v>49827</v>
      </c>
      <c r="AK5" s="3"/>
      <c r="AL5" s="3"/>
      <c r="AM5" s="3"/>
      <c r="AO5" s="3"/>
      <c r="AP5" s="33"/>
      <c r="AQ5" s="33"/>
      <c r="AR5" s="33"/>
      <c r="AS5" s="33"/>
      <c r="AT5" s="33"/>
      <c r="AU5" s="33"/>
      <c r="AV5" s="33"/>
      <c r="BY5" s="14"/>
      <c r="BZ5" s="14"/>
      <c r="CA5" s="14"/>
      <c r="CB5" s="14" t="s">
        <v>344</v>
      </c>
    </row>
    <row r="6" spans="1:80" x14ac:dyDescent="0.3">
      <c r="A6" s="3">
        <v>5</v>
      </c>
      <c r="B6" s="3"/>
      <c r="C6" s="3"/>
      <c r="D6" s="3" t="s">
        <v>11</v>
      </c>
      <c r="E6" s="3" t="s">
        <v>12</v>
      </c>
      <c r="F6" s="3" t="s">
        <v>13</v>
      </c>
      <c r="G6" s="3" t="s">
        <v>14</v>
      </c>
      <c r="H6" s="3" t="s">
        <v>19</v>
      </c>
      <c r="K6" s="11"/>
      <c r="L6" s="11">
        <f>3497112.9/4</f>
        <v>874278.22499999998</v>
      </c>
      <c r="M6" s="11"/>
      <c r="N6" s="12"/>
      <c r="O6" s="11"/>
      <c r="P6" s="11"/>
      <c r="Q6" s="11"/>
      <c r="R6" s="13">
        <v>0</v>
      </c>
      <c r="S6" s="13">
        <f t="shared" si="0"/>
        <v>1573.7008049999999</v>
      </c>
      <c r="T6" s="13"/>
      <c r="U6" s="13"/>
      <c r="V6" s="13">
        <v>0</v>
      </c>
      <c r="W6" s="13">
        <v>0</v>
      </c>
      <c r="X6" s="13">
        <v>0</v>
      </c>
      <c r="Y6" s="34">
        <v>45331</v>
      </c>
      <c r="AA6" s="33"/>
      <c r="AD6" s="32">
        <v>50922</v>
      </c>
      <c r="AK6" s="3"/>
      <c r="AL6" s="3"/>
      <c r="AM6" s="3"/>
      <c r="AO6" s="3"/>
      <c r="AP6" s="33"/>
      <c r="AQ6" s="33"/>
      <c r="AR6" s="33"/>
      <c r="AS6" s="33"/>
      <c r="AT6" s="33"/>
      <c r="AU6" s="33"/>
      <c r="AV6" s="33"/>
      <c r="BY6" s="14"/>
      <c r="BZ6" s="14"/>
      <c r="CA6" s="14"/>
      <c r="CB6" s="14" t="s">
        <v>344</v>
      </c>
    </row>
    <row r="7" spans="1:80" x14ac:dyDescent="0.3">
      <c r="A7" s="3">
        <v>6</v>
      </c>
      <c r="B7" s="3">
        <v>42</v>
      </c>
      <c r="C7" s="4" t="s">
        <v>20</v>
      </c>
      <c r="D7" s="3" t="s">
        <v>11</v>
      </c>
      <c r="E7" s="3" t="s">
        <v>12</v>
      </c>
      <c r="F7" s="3" t="s">
        <v>13</v>
      </c>
      <c r="G7" s="3" t="s">
        <v>21</v>
      </c>
      <c r="H7" s="3" t="s">
        <v>22</v>
      </c>
      <c r="I7">
        <v>-3.3596000000000001E-2</v>
      </c>
      <c r="J7">
        <v>-51.186059</v>
      </c>
      <c r="K7" s="8">
        <v>980000</v>
      </c>
      <c r="L7" s="8">
        <v>893253.24</v>
      </c>
      <c r="M7" s="8">
        <v>500191.94</v>
      </c>
      <c r="N7" s="9">
        <v>0</v>
      </c>
      <c r="O7" s="8">
        <v>12774.03</v>
      </c>
      <c r="P7" s="8">
        <v>238917.52</v>
      </c>
      <c r="Q7" s="8">
        <v>141369.75</v>
      </c>
      <c r="R7" s="10">
        <v>0</v>
      </c>
      <c r="S7" s="10">
        <v>0</v>
      </c>
      <c r="T7" s="10">
        <v>1814</v>
      </c>
      <c r="U7" s="10">
        <v>70</v>
      </c>
      <c r="V7" s="10">
        <v>0</v>
      </c>
      <c r="W7" s="10">
        <v>0</v>
      </c>
      <c r="X7" s="10">
        <v>0</v>
      </c>
      <c r="Y7" s="32">
        <v>41311</v>
      </c>
      <c r="Z7" s="32">
        <v>41722</v>
      </c>
      <c r="AA7" s="35">
        <v>41893</v>
      </c>
      <c r="AB7" s="36">
        <v>41913</v>
      </c>
      <c r="AC7" s="32">
        <v>42594</v>
      </c>
      <c r="AD7" s="35"/>
      <c r="AK7" s="3"/>
      <c r="AL7" s="3"/>
      <c r="AM7" s="3"/>
      <c r="AO7" s="3"/>
      <c r="AP7" s="33"/>
      <c r="AQ7" s="3" t="s">
        <v>311</v>
      </c>
      <c r="AR7" s="3"/>
      <c r="AS7" s="3"/>
      <c r="AT7" s="50">
        <v>1</v>
      </c>
      <c r="AU7" s="51"/>
      <c r="AV7" s="51"/>
      <c r="BY7" s="14" t="s">
        <v>345</v>
      </c>
      <c r="BZ7" s="14" t="s">
        <v>341</v>
      </c>
      <c r="CA7" s="14" t="s">
        <v>345</v>
      </c>
      <c r="CB7" s="14" t="s">
        <v>346</v>
      </c>
    </row>
    <row r="8" spans="1:80" x14ac:dyDescent="0.3">
      <c r="A8" s="3">
        <v>7</v>
      </c>
      <c r="B8" s="3">
        <v>49</v>
      </c>
      <c r="C8" s="3" t="s">
        <v>23</v>
      </c>
      <c r="D8" s="3" t="s">
        <v>11</v>
      </c>
      <c r="E8" s="3" t="s">
        <v>12</v>
      </c>
      <c r="F8" s="3" t="s">
        <v>13</v>
      </c>
      <c r="G8" s="3" t="s">
        <v>21</v>
      </c>
      <c r="H8" s="3" t="s">
        <v>24</v>
      </c>
      <c r="I8">
        <v>-2.7293999999999999E-2</v>
      </c>
      <c r="J8">
        <v>-51.185039000000003</v>
      </c>
      <c r="K8" s="8">
        <v>980000</v>
      </c>
      <c r="L8" s="8">
        <v>778696.92</v>
      </c>
      <c r="M8" s="8">
        <v>448024.13</v>
      </c>
      <c r="N8" s="9">
        <v>0</v>
      </c>
      <c r="O8" s="8">
        <v>49499.16</v>
      </c>
      <c r="P8" s="8">
        <v>171086.62</v>
      </c>
      <c r="Q8" s="8">
        <v>110086.81</v>
      </c>
      <c r="R8" s="10">
        <v>0</v>
      </c>
      <c r="S8" s="10">
        <v>0</v>
      </c>
      <c r="T8" s="10">
        <v>1880</v>
      </c>
      <c r="U8" s="10">
        <v>53</v>
      </c>
      <c r="V8" s="10">
        <v>0</v>
      </c>
      <c r="W8" s="10">
        <v>0</v>
      </c>
      <c r="X8" s="10">
        <v>0</v>
      </c>
      <c r="Y8" s="32">
        <v>41311</v>
      </c>
      <c r="Z8" s="32">
        <v>42128</v>
      </c>
      <c r="AA8" s="35">
        <v>42366</v>
      </c>
      <c r="AB8" s="36">
        <v>43009</v>
      </c>
      <c r="AC8" s="32">
        <v>44916</v>
      </c>
      <c r="AD8" s="35"/>
      <c r="AK8" s="3"/>
      <c r="AL8" s="3"/>
      <c r="AM8" s="3"/>
      <c r="AO8" s="3"/>
      <c r="AP8" s="33"/>
      <c r="AQ8" s="3" t="s">
        <v>311</v>
      </c>
      <c r="AR8" s="3"/>
      <c r="AS8" s="3"/>
      <c r="AT8" s="50">
        <v>1</v>
      </c>
      <c r="AU8" s="51"/>
      <c r="AV8" s="51"/>
      <c r="BY8" s="14" t="s">
        <v>345</v>
      </c>
      <c r="BZ8" s="14" t="s">
        <v>341</v>
      </c>
      <c r="CA8" s="14" t="s">
        <v>345</v>
      </c>
      <c r="CB8" s="14" t="s">
        <v>346</v>
      </c>
    </row>
    <row r="9" spans="1:80" x14ac:dyDescent="0.3">
      <c r="A9" s="3">
        <v>8</v>
      </c>
      <c r="B9" s="3">
        <v>93</v>
      </c>
      <c r="C9" s="3" t="s">
        <v>25</v>
      </c>
      <c r="D9" s="3" t="s">
        <v>11</v>
      </c>
      <c r="E9" s="3" t="s">
        <v>12</v>
      </c>
      <c r="F9" s="3" t="s">
        <v>13</v>
      </c>
      <c r="G9" s="3" t="s">
        <v>21</v>
      </c>
      <c r="H9" s="3" t="s">
        <v>26</v>
      </c>
      <c r="I9">
        <v>-1.8891000000000002E-2</v>
      </c>
      <c r="J9">
        <v>-51.194651999999998</v>
      </c>
      <c r="K9" s="8">
        <v>916349.48</v>
      </c>
      <c r="L9" s="8">
        <v>623004.92000000004</v>
      </c>
      <c r="M9" s="8">
        <v>373611.05</v>
      </c>
      <c r="N9" s="9">
        <v>0</v>
      </c>
      <c r="O9" s="8">
        <v>43522.2</v>
      </c>
      <c r="P9" s="8">
        <v>156161.69</v>
      </c>
      <c r="Q9" s="8">
        <v>49709.98</v>
      </c>
      <c r="R9" s="10">
        <v>0</v>
      </c>
      <c r="S9" s="10">
        <v>0</v>
      </c>
      <c r="T9" s="10">
        <v>1744</v>
      </c>
      <c r="U9" s="10">
        <v>54</v>
      </c>
      <c r="V9" s="10">
        <v>0</v>
      </c>
      <c r="W9" s="10">
        <v>0</v>
      </c>
      <c r="X9" s="10">
        <v>0</v>
      </c>
      <c r="Y9" s="32">
        <v>41311</v>
      </c>
      <c r="Z9" s="32">
        <v>42545</v>
      </c>
      <c r="AA9" s="35">
        <v>42634</v>
      </c>
      <c r="AB9" s="36">
        <v>44075</v>
      </c>
      <c r="AC9" s="32">
        <v>44916</v>
      </c>
      <c r="AD9" s="35"/>
      <c r="AK9" s="3"/>
      <c r="AL9" s="3"/>
      <c r="AM9" s="3"/>
      <c r="AO9" s="3"/>
      <c r="AP9" s="33"/>
      <c r="AQ9" s="3" t="s">
        <v>311</v>
      </c>
      <c r="AR9" s="3"/>
      <c r="AS9" s="3"/>
      <c r="AT9" s="50"/>
      <c r="AU9" s="51"/>
      <c r="AV9" s="51"/>
      <c r="BY9" s="14" t="s">
        <v>345</v>
      </c>
      <c r="BZ9" s="14" t="s">
        <v>341</v>
      </c>
      <c r="CA9" s="14" t="s">
        <v>345</v>
      </c>
      <c r="CB9" s="14" t="s">
        <v>346</v>
      </c>
    </row>
    <row r="10" spans="1:80" x14ac:dyDescent="0.3">
      <c r="A10" s="3">
        <v>9</v>
      </c>
      <c r="B10" s="3">
        <v>94</v>
      </c>
      <c r="C10" s="3" t="s">
        <v>27</v>
      </c>
      <c r="D10" s="3" t="s">
        <v>11</v>
      </c>
      <c r="E10" s="3" t="s">
        <v>12</v>
      </c>
      <c r="F10" s="3" t="s">
        <v>13</v>
      </c>
      <c r="G10" s="3" t="s">
        <v>21</v>
      </c>
      <c r="H10" s="3" t="s">
        <v>28</v>
      </c>
      <c r="I10">
        <v>-2.1104000000000001E-2</v>
      </c>
      <c r="J10">
        <v>-51.186199000000002</v>
      </c>
      <c r="K10" s="8">
        <v>937922.07</v>
      </c>
      <c r="L10" s="8">
        <v>825138</v>
      </c>
      <c r="M10" s="8">
        <v>492667.42</v>
      </c>
      <c r="N10" s="9">
        <v>0</v>
      </c>
      <c r="O10" s="8">
        <v>44280.01</v>
      </c>
      <c r="P10" s="8">
        <v>211896.66</v>
      </c>
      <c r="Q10" s="8">
        <v>76293.909999999989</v>
      </c>
      <c r="R10" s="10">
        <v>0</v>
      </c>
      <c r="S10" s="10">
        <v>0</v>
      </c>
      <c r="T10" s="10">
        <v>2107</v>
      </c>
      <c r="U10" s="10">
        <v>65</v>
      </c>
      <c r="V10" s="10">
        <v>0</v>
      </c>
      <c r="W10" s="10">
        <v>0</v>
      </c>
      <c r="X10" s="10">
        <v>0</v>
      </c>
      <c r="Y10" s="32">
        <v>41311</v>
      </c>
      <c r="Z10" s="32">
        <v>42489</v>
      </c>
      <c r="AA10" s="35">
        <v>42634</v>
      </c>
      <c r="AB10" s="36">
        <v>45566</v>
      </c>
      <c r="AD10" s="33"/>
      <c r="AK10" s="3"/>
      <c r="AL10" s="3"/>
      <c r="AM10" s="3"/>
      <c r="AO10" s="3"/>
      <c r="AP10" s="33"/>
      <c r="AQ10" s="3" t="s">
        <v>311</v>
      </c>
      <c r="AR10" s="3"/>
      <c r="AS10" s="3"/>
      <c r="AT10" s="50">
        <v>2</v>
      </c>
      <c r="AU10" s="51"/>
      <c r="AV10" s="51"/>
      <c r="BY10" s="14" t="s">
        <v>345</v>
      </c>
      <c r="BZ10" s="14" t="s">
        <v>341</v>
      </c>
      <c r="CA10" s="14" t="s">
        <v>347</v>
      </c>
      <c r="CB10" s="14" t="s">
        <v>348</v>
      </c>
    </row>
    <row r="11" spans="1:80" x14ac:dyDescent="0.3">
      <c r="A11" s="3">
        <v>10</v>
      </c>
      <c r="B11" s="3">
        <v>138</v>
      </c>
      <c r="C11" s="3" t="s">
        <v>29</v>
      </c>
      <c r="D11" s="3" t="s">
        <v>11</v>
      </c>
      <c r="E11" s="3" t="s">
        <v>30</v>
      </c>
      <c r="F11" s="3" t="s">
        <v>31</v>
      </c>
      <c r="G11" s="3" t="s">
        <v>32</v>
      </c>
      <c r="H11" s="3" t="s">
        <v>33</v>
      </c>
      <c r="K11" s="8">
        <v>461538</v>
      </c>
      <c r="L11" s="8">
        <v>388910.02</v>
      </c>
      <c r="M11" s="8">
        <v>181580.09000000003</v>
      </c>
      <c r="N11" s="8">
        <v>28606.04</v>
      </c>
      <c r="O11" s="8">
        <v>23077.69</v>
      </c>
      <c r="P11" s="8">
        <v>86411.99</v>
      </c>
      <c r="Q11" s="8">
        <v>69234.210000000006</v>
      </c>
      <c r="R11" s="10">
        <v>0</v>
      </c>
      <c r="S11" s="10">
        <v>0</v>
      </c>
      <c r="T11" s="10">
        <v>760</v>
      </c>
      <c r="U11" s="10">
        <v>30</v>
      </c>
      <c r="V11" s="10">
        <v>0</v>
      </c>
      <c r="W11" s="10">
        <v>0</v>
      </c>
      <c r="X11" s="10">
        <v>0</v>
      </c>
      <c r="Y11" s="32">
        <v>45513</v>
      </c>
      <c r="AA11" s="33"/>
      <c r="AD11" s="32">
        <v>54575</v>
      </c>
      <c r="AK11" s="3"/>
      <c r="AL11" s="3"/>
      <c r="AM11" s="3"/>
      <c r="AO11" s="3"/>
      <c r="AP11" s="33"/>
      <c r="AQ11" s="33"/>
      <c r="AR11" s="33"/>
      <c r="AS11" s="33"/>
      <c r="AT11" s="33"/>
      <c r="AU11" s="33"/>
      <c r="AV11" s="33"/>
      <c r="BY11" s="14" t="s">
        <v>340</v>
      </c>
      <c r="BZ11" s="14" t="s">
        <v>341</v>
      </c>
      <c r="CA11" s="14" t="s">
        <v>347</v>
      </c>
      <c r="CB11" s="14" t="s">
        <v>343</v>
      </c>
    </row>
    <row r="12" spans="1:80" x14ac:dyDescent="0.3">
      <c r="A12" s="3">
        <v>11</v>
      </c>
      <c r="B12" s="3"/>
      <c r="C12" s="3"/>
      <c r="D12" s="3" t="s">
        <v>11</v>
      </c>
      <c r="E12" s="3" t="s">
        <v>30</v>
      </c>
      <c r="F12" s="3" t="s">
        <v>31</v>
      </c>
      <c r="G12" s="3" t="s">
        <v>32</v>
      </c>
      <c r="H12" s="3" t="s">
        <v>34</v>
      </c>
      <c r="K12" s="11">
        <f>(300-46)*10000</f>
        <v>2540000</v>
      </c>
      <c r="L12" s="11">
        <f>(K12*0.55)/2</f>
        <v>698500</v>
      </c>
      <c r="M12" s="11"/>
      <c r="N12" s="11"/>
      <c r="O12" s="11"/>
      <c r="P12" s="11"/>
      <c r="Q12" s="11"/>
      <c r="R12" s="13">
        <v>0</v>
      </c>
      <c r="S12" s="13">
        <f>L12*18/10000</f>
        <v>1257.3</v>
      </c>
      <c r="T12" s="13"/>
      <c r="U12" s="13"/>
      <c r="V12" s="13">
        <v>0</v>
      </c>
      <c r="W12" s="13">
        <v>0</v>
      </c>
      <c r="X12" s="13">
        <v>0</v>
      </c>
      <c r="Y12" s="32">
        <v>45513</v>
      </c>
      <c r="AA12" s="33"/>
      <c r="AD12" s="32">
        <v>47635</v>
      </c>
      <c r="AK12" s="3"/>
      <c r="AL12" s="3"/>
      <c r="AM12" s="3"/>
      <c r="AO12" s="3"/>
      <c r="AP12" s="33"/>
      <c r="AQ12" s="33"/>
      <c r="AR12" s="33"/>
      <c r="AS12" s="33"/>
      <c r="AT12" s="33"/>
      <c r="AU12" s="33"/>
      <c r="AV12" s="33"/>
      <c r="BY12" s="14" t="s">
        <v>340</v>
      </c>
      <c r="BZ12" s="14" t="s">
        <v>341</v>
      </c>
      <c r="CA12" s="14" t="s">
        <v>347</v>
      </c>
      <c r="CB12" s="14" t="s">
        <v>344</v>
      </c>
    </row>
    <row r="13" spans="1:80" x14ac:dyDescent="0.3">
      <c r="A13" s="3">
        <v>12</v>
      </c>
      <c r="B13" s="3"/>
      <c r="C13" s="3"/>
      <c r="D13" s="3" t="s">
        <v>11</v>
      </c>
      <c r="E13" s="3" t="s">
        <v>30</v>
      </c>
      <c r="F13" s="3" t="s">
        <v>31</v>
      </c>
      <c r="G13" s="3" t="s">
        <v>32</v>
      </c>
      <c r="H13" s="3" t="s">
        <v>35</v>
      </c>
      <c r="K13" s="11"/>
      <c r="L13" s="11"/>
      <c r="M13" s="11"/>
      <c r="N13" s="11"/>
      <c r="O13" s="11"/>
      <c r="P13" s="11"/>
      <c r="Q13" s="11"/>
      <c r="R13" s="13">
        <v>0</v>
      </c>
      <c r="S13" s="13"/>
      <c r="T13" s="13"/>
      <c r="U13" s="13"/>
      <c r="V13" s="13">
        <v>0</v>
      </c>
      <c r="W13" s="13">
        <v>0</v>
      </c>
      <c r="X13" s="13">
        <v>0</v>
      </c>
      <c r="Y13" s="32">
        <v>45513</v>
      </c>
      <c r="AA13" s="33"/>
      <c r="AD13" s="32">
        <v>48731</v>
      </c>
      <c r="AK13" s="3"/>
      <c r="AL13" s="3"/>
      <c r="AM13" s="3"/>
      <c r="AO13" s="3"/>
      <c r="AP13" s="33"/>
      <c r="AQ13" s="33"/>
      <c r="AR13" s="33"/>
      <c r="AS13" s="33"/>
      <c r="AT13" s="33"/>
      <c r="AU13" s="33"/>
      <c r="AV13" s="33"/>
      <c r="BY13" s="14"/>
      <c r="BZ13" s="14"/>
      <c r="CA13" s="14"/>
      <c r="CB13" s="14"/>
    </row>
    <row r="14" spans="1:80" x14ac:dyDescent="0.3">
      <c r="A14" s="3">
        <v>13</v>
      </c>
      <c r="B14" s="3"/>
      <c r="C14" s="3"/>
      <c r="D14" s="3" t="s">
        <v>11</v>
      </c>
      <c r="E14" s="3" t="s">
        <v>30</v>
      </c>
      <c r="F14" s="3" t="s">
        <v>31</v>
      </c>
      <c r="G14" s="3" t="s">
        <v>32</v>
      </c>
      <c r="H14" s="3" t="s">
        <v>36</v>
      </c>
      <c r="K14" s="11"/>
      <c r="L14" s="11"/>
      <c r="M14" s="11"/>
      <c r="N14" s="11"/>
      <c r="O14" s="11"/>
      <c r="P14" s="11"/>
      <c r="Q14" s="11"/>
      <c r="R14" s="13">
        <v>0</v>
      </c>
      <c r="S14" s="13"/>
      <c r="T14" s="13"/>
      <c r="U14" s="13"/>
      <c r="V14" s="13">
        <v>0</v>
      </c>
      <c r="W14" s="13">
        <v>0</v>
      </c>
      <c r="X14" s="13">
        <v>0</v>
      </c>
      <c r="Y14" s="32">
        <v>45513</v>
      </c>
      <c r="AA14" s="33"/>
      <c r="AD14" s="32">
        <v>49827</v>
      </c>
      <c r="AK14" s="3"/>
      <c r="AL14" s="3"/>
      <c r="AM14" s="3"/>
      <c r="AO14" s="3"/>
      <c r="AP14" s="33"/>
      <c r="AQ14" s="33"/>
      <c r="AR14" s="33"/>
      <c r="AS14" s="33"/>
      <c r="AT14" s="33"/>
      <c r="AU14" s="33"/>
      <c r="AV14" s="33"/>
      <c r="BY14" s="14"/>
      <c r="BZ14" s="14"/>
      <c r="CA14" s="14"/>
      <c r="CB14" s="14"/>
    </row>
    <row r="15" spans="1:80" x14ac:dyDescent="0.3">
      <c r="A15" s="3">
        <v>14</v>
      </c>
      <c r="B15" s="4">
        <v>139</v>
      </c>
      <c r="C15" s="3" t="s">
        <v>37</v>
      </c>
      <c r="D15" s="3" t="s">
        <v>11</v>
      </c>
      <c r="E15" s="3" t="s">
        <v>30</v>
      </c>
      <c r="F15" s="3" t="s">
        <v>31</v>
      </c>
      <c r="G15" s="3" t="s">
        <v>38</v>
      </c>
      <c r="H15" s="3" t="s">
        <v>39</v>
      </c>
      <c r="K15" s="8">
        <v>769431</v>
      </c>
      <c r="L15" s="8">
        <v>667494.21</v>
      </c>
      <c r="M15" s="8">
        <v>351458.98</v>
      </c>
      <c r="N15" s="9">
        <v>0</v>
      </c>
      <c r="O15" s="8">
        <v>66874.42</v>
      </c>
      <c r="P15" s="8">
        <v>179956.23</v>
      </c>
      <c r="Q15" s="8">
        <v>69204.58</v>
      </c>
      <c r="R15" s="10">
        <v>0</v>
      </c>
      <c r="S15" s="10">
        <v>0</v>
      </c>
      <c r="T15" s="10">
        <v>1660</v>
      </c>
      <c r="U15" s="10">
        <v>60</v>
      </c>
      <c r="V15" s="10">
        <v>0</v>
      </c>
      <c r="W15" s="10">
        <v>0</v>
      </c>
      <c r="X15" s="10">
        <v>0</v>
      </c>
      <c r="Y15" s="32">
        <v>44732</v>
      </c>
      <c r="Z15" s="32">
        <v>45645</v>
      </c>
      <c r="AA15" s="35">
        <v>45848</v>
      </c>
      <c r="AB15" s="32">
        <v>45925</v>
      </c>
      <c r="AD15" s="32"/>
      <c r="AK15" s="3"/>
      <c r="AL15" s="3"/>
      <c r="AM15" s="3"/>
      <c r="AO15" s="3"/>
      <c r="AP15" s="33"/>
      <c r="AQ15" s="33"/>
      <c r="AR15" s="33"/>
      <c r="AS15" s="33"/>
      <c r="AT15" s="33"/>
      <c r="AU15" s="33"/>
      <c r="AV15" s="33"/>
      <c r="BY15" s="14" t="s">
        <v>340</v>
      </c>
      <c r="BZ15" s="14" t="s">
        <v>341</v>
      </c>
      <c r="CA15" s="14" t="s">
        <v>347</v>
      </c>
      <c r="CB15" s="14" t="s">
        <v>348</v>
      </c>
    </row>
    <row r="16" spans="1:80" x14ac:dyDescent="0.3">
      <c r="A16" s="3">
        <v>15</v>
      </c>
      <c r="B16" s="3"/>
      <c r="C16" s="3"/>
      <c r="D16" s="3" t="s">
        <v>11</v>
      </c>
      <c r="E16" s="3" t="s">
        <v>30</v>
      </c>
      <c r="F16" s="3" t="s">
        <v>31</v>
      </c>
      <c r="G16" s="3" t="s">
        <v>38</v>
      </c>
      <c r="H16" s="3" t="s">
        <v>40</v>
      </c>
      <c r="K16" s="14">
        <v>691321.65</v>
      </c>
      <c r="L16" s="14">
        <v>632787.94999999995</v>
      </c>
      <c r="M16" s="14">
        <v>331818.71000000002</v>
      </c>
      <c r="N16" s="15">
        <v>0</v>
      </c>
      <c r="O16" s="14">
        <v>63310.45</v>
      </c>
      <c r="P16" s="14">
        <v>174321.32</v>
      </c>
      <c r="Q16" s="14">
        <v>63337.47</v>
      </c>
      <c r="R16" s="16">
        <v>0</v>
      </c>
      <c r="S16" s="16">
        <v>0</v>
      </c>
      <c r="T16" s="16">
        <v>1605</v>
      </c>
      <c r="U16" s="16">
        <v>59</v>
      </c>
      <c r="V16" s="16">
        <v>0</v>
      </c>
      <c r="W16" s="16">
        <v>0</v>
      </c>
      <c r="X16" s="16">
        <v>0</v>
      </c>
      <c r="Y16" s="32">
        <v>44732</v>
      </c>
      <c r="Z16" s="32"/>
      <c r="AA16" s="33"/>
      <c r="AD16" s="32">
        <v>46539</v>
      </c>
      <c r="AK16" s="3"/>
      <c r="AL16" s="3"/>
      <c r="AM16" s="3"/>
      <c r="AO16" s="3"/>
      <c r="AP16" s="33"/>
      <c r="AQ16" s="33"/>
      <c r="AR16" s="33"/>
      <c r="AS16" s="33"/>
      <c r="AT16" s="33"/>
      <c r="AU16" s="33"/>
      <c r="AV16" s="33"/>
      <c r="BY16" s="14" t="s">
        <v>340</v>
      </c>
      <c r="BZ16" s="14" t="s">
        <v>341</v>
      </c>
      <c r="CA16" s="14" t="s">
        <v>347</v>
      </c>
      <c r="CB16" s="14" t="s">
        <v>343</v>
      </c>
    </row>
    <row r="17" spans="1:80" x14ac:dyDescent="0.3">
      <c r="A17" s="3">
        <v>16</v>
      </c>
      <c r="B17" s="5">
        <v>1</v>
      </c>
      <c r="C17" s="5" t="s">
        <v>41</v>
      </c>
      <c r="D17" s="3" t="s">
        <v>11</v>
      </c>
      <c r="E17" s="5" t="s">
        <v>42</v>
      </c>
      <c r="F17" s="5" t="s">
        <v>43</v>
      </c>
      <c r="G17" s="5" t="s">
        <v>44</v>
      </c>
      <c r="H17" s="5" t="s">
        <v>45</v>
      </c>
      <c r="K17" s="9">
        <v>242000</v>
      </c>
      <c r="L17" s="9">
        <v>242000</v>
      </c>
      <c r="M17" s="9">
        <v>136634.20000000001</v>
      </c>
      <c r="N17" s="9">
        <v>0</v>
      </c>
      <c r="O17" s="9">
        <v>13440</v>
      </c>
      <c r="P17" s="9">
        <v>79125.8</v>
      </c>
      <c r="Q17" s="9">
        <v>12800</v>
      </c>
      <c r="R17" s="10">
        <v>0</v>
      </c>
      <c r="S17" s="10">
        <v>0</v>
      </c>
      <c r="T17" s="10">
        <v>432</v>
      </c>
      <c r="U17" s="10">
        <v>38</v>
      </c>
      <c r="V17" s="10">
        <v>0</v>
      </c>
      <c r="W17" s="10">
        <v>0</v>
      </c>
      <c r="X17" s="10">
        <v>0</v>
      </c>
      <c r="Y17" s="32">
        <v>38750</v>
      </c>
      <c r="Z17" s="32">
        <v>38904</v>
      </c>
      <c r="AA17" s="32">
        <v>38930</v>
      </c>
      <c r="AB17" s="36">
        <v>39264</v>
      </c>
      <c r="AC17" s="37">
        <v>39264</v>
      </c>
      <c r="BY17" s="14" t="s">
        <v>345</v>
      </c>
      <c r="BZ17" s="14" t="s">
        <v>345</v>
      </c>
      <c r="CA17" s="15" t="s">
        <v>345</v>
      </c>
      <c r="CB17" s="15" t="s">
        <v>346</v>
      </c>
    </row>
    <row r="18" spans="1:80" x14ac:dyDescent="0.3">
      <c r="A18" s="3">
        <v>17</v>
      </c>
      <c r="B18" s="5">
        <v>55</v>
      </c>
      <c r="C18" s="5" t="s">
        <v>46</v>
      </c>
      <c r="D18" s="3" t="s">
        <v>11</v>
      </c>
      <c r="E18" s="5" t="s">
        <v>42</v>
      </c>
      <c r="F18" s="5" t="s">
        <v>43</v>
      </c>
      <c r="G18" s="5" t="s">
        <v>47</v>
      </c>
      <c r="H18" s="5" t="s">
        <v>33</v>
      </c>
      <c r="K18" s="9">
        <v>524090</v>
      </c>
      <c r="L18" s="9">
        <v>456228.73</v>
      </c>
      <c r="M18" s="9">
        <v>264696.2</v>
      </c>
      <c r="N18" s="9">
        <v>0</v>
      </c>
      <c r="O18" s="9">
        <v>45328.18</v>
      </c>
      <c r="P18" s="9">
        <v>116408.84</v>
      </c>
      <c r="Q18" s="9">
        <v>29795.51</v>
      </c>
      <c r="R18" s="10">
        <v>0</v>
      </c>
      <c r="S18" s="10">
        <v>0</v>
      </c>
      <c r="T18" s="10">
        <v>927</v>
      </c>
      <c r="U18" s="10">
        <v>34</v>
      </c>
      <c r="V18" s="10">
        <v>0</v>
      </c>
      <c r="W18" s="10">
        <v>0</v>
      </c>
      <c r="X18" s="10">
        <v>0</v>
      </c>
      <c r="Y18" s="32">
        <v>41095</v>
      </c>
      <c r="Z18" s="32">
        <v>42724</v>
      </c>
      <c r="AA18" s="32">
        <v>44195</v>
      </c>
      <c r="AB18" s="32"/>
      <c r="AD18" s="32">
        <v>46296</v>
      </c>
      <c r="AK18" s="52">
        <v>4.9000000000000004</v>
      </c>
      <c r="AL18" s="52">
        <v>5.88</v>
      </c>
      <c r="AM18" s="52">
        <v>8.82</v>
      </c>
      <c r="AN18" s="42"/>
      <c r="AO18" s="52">
        <v>150</v>
      </c>
      <c r="AP18" s="30">
        <v>50</v>
      </c>
      <c r="AQ18" s="3" t="s">
        <v>312</v>
      </c>
      <c r="AR18" s="46">
        <v>1</v>
      </c>
      <c r="AS18" s="30">
        <v>28.8</v>
      </c>
      <c r="AT18" s="30">
        <v>0</v>
      </c>
      <c r="AU18" s="30">
        <v>0</v>
      </c>
      <c r="AV18" s="30">
        <v>0</v>
      </c>
      <c r="BY18" s="14" t="s">
        <v>340</v>
      </c>
      <c r="BZ18" s="14" t="s">
        <v>341</v>
      </c>
      <c r="CA18" s="14" t="s">
        <v>347</v>
      </c>
      <c r="CB18" s="15" t="s">
        <v>349</v>
      </c>
    </row>
    <row r="19" spans="1:80" x14ac:dyDescent="0.3">
      <c r="A19" s="3">
        <v>18</v>
      </c>
      <c r="D19" s="3" t="s">
        <v>11</v>
      </c>
      <c r="E19" s="5" t="s">
        <v>42</v>
      </c>
      <c r="F19" s="5" t="s">
        <v>43</v>
      </c>
      <c r="G19" s="5" t="s">
        <v>47</v>
      </c>
      <c r="H19" s="5" t="s">
        <v>34</v>
      </c>
      <c r="K19" s="12">
        <v>353343</v>
      </c>
      <c r="L19" s="12">
        <v>323089.7</v>
      </c>
      <c r="M19" s="12"/>
      <c r="N19" s="12"/>
      <c r="O19" s="12"/>
      <c r="P19" s="12"/>
      <c r="Q19" s="12"/>
      <c r="R19" s="13">
        <v>0</v>
      </c>
      <c r="S19" s="13">
        <f>K19*20/10000</f>
        <v>706.68600000000004</v>
      </c>
      <c r="T19" s="13"/>
      <c r="U19" s="13"/>
      <c r="V19" s="13">
        <v>0</v>
      </c>
      <c r="W19" s="13">
        <v>0</v>
      </c>
      <c r="X19" s="13">
        <v>0</v>
      </c>
      <c r="Y19" s="32">
        <v>41324</v>
      </c>
      <c r="AA19" s="3"/>
      <c r="AD19" s="32">
        <v>47270</v>
      </c>
      <c r="BY19" s="14" t="s">
        <v>340</v>
      </c>
      <c r="BZ19" s="14" t="s">
        <v>341</v>
      </c>
      <c r="CA19" s="15" t="s">
        <v>342</v>
      </c>
      <c r="CB19" s="15" t="s">
        <v>350</v>
      </c>
    </row>
    <row r="20" spans="1:80" x14ac:dyDescent="0.3">
      <c r="A20" s="3">
        <v>19</v>
      </c>
      <c r="D20" s="3" t="s">
        <v>11</v>
      </c>
      <c r="E20" s="5" t="s">
        <v>42</v>
      </c>
      <c r="F20" s="5" t="s">
        <v>43</v>
      </c>
      <c r="G20" s="5" t="s">
        <v>47</v>
      </c>
      <c r="H20" s="5" t="s">
        <v>48</v>
      </c>
      <c r="K20" s="15">
        <v>180443.26</v>
      </c>
      <c r="L20" s="15">
        <v>169017.80000000002</v>
      </c>
      <c r="M20" s="15">
        <v>88076.68</v>
      </c>
      <c r="N20" s="15">
        <v>0</v>
      </c>
      <c r="O20" s="15">
        <v>18044.330000000002</v>
      </c>
      <c r="P20" s="15">
        <v>49551.45</v>
      </c>
      <c r="Q20" s="15">
        <v>13345.34</v>
      </c>
      <c r="R20" s="16">
        <v>0</v>
      </c>
      <c r="S20" s="16">
        <v>0</v>
      </c>
      <c r="T20" s="16">
        <v>281</v>
      </c>
      <c r="U20" s="16">
        <v>13</v>
      </c>
      <c r="V20" s="10">
        <v>0</v>
      </c>
      <c r="W20" s="10">
        <v>0</v>
      </c>
      <c r="X20" s="10">
        <v>0</v>
      </c>
      <c r="Y20" s="32">
        <v>38769</v>
      </c>
      <c r="Z20" s="32">
        <v>38770</v>
      </c>
      <c r="AA20" s="32">
        <v>38889</v>
      </c>
      <c r="AB20" s="32">
        <v>38899</v>
      </c>
      <c r="AC20" s="37">
        <v>38899</v>
      </c>
      <c r="BY20" s="14" t="s">
        <v>345</v>
      </c>
      <c r="BZ20" s="14" t="s">
        <v>345</v>
      </c>
      <c r="CA20" s="15" t="s">
        <v>345</v>
      </c>
      <c r="CB20" s="15" t="s">
        <v>346</v>
      </c>
    </row>
    <row r="21" spans="1:80" x14ac:dyDescent="0.3">
      <c r="A21" s="3">
        <v>20</v>
      </c>
      <c r="D21" s="3" t="s">
        <v>11</v>
      </c>
      <c r="E21" s="5" t="s">
        <v>42</v>
      </c>
      <c r="F21" s="5" t="s">
        <v>43</v>
      </c>
      <c r="G21" s="5" t="s">
        <v>47</v>
      </c>
      <c r="H21" s="5" t="s">
        <v>49</v>
      </c>
      <c r="K21" s="15">
        <v>58173</v>
      </c>
      <c r="L21" s="15">
        <v>54770.49</v>
      </c>
      <c r="M21" s="15">
        <v>32623.27</v>
      </c>
      <c r="N21" s="15">
        <v>0</v>
      </c>
      <c r="O21" s="15">
        <v>5817.3</v>
      </c>
      <c r="P21" s="15">
        <v>13421.27</v>
      </c>
      <c r="Q21" s="15">
        <v>2908.65</v>
      </c>
      <c r="R21" s="16">
        <v>0</v>
      </c>
      <c r="S21" s="16">
        <v>0</v>
      </c>
      <c r="T21" s="16">
        <v>103</v>
      </c>
      <c r="U21" s="16">
        <v>7</v>
      </c>
      <c r="V21" s="10">
        <v>0</v>
      </c>
      <c r="W21" s="10">
        <v>0</v>
      </c>
      <c r="X21" s="10">
        <v>0</v>
      </c>
      <c r="Y21" s="32">
        <v>38891</v>
      </c>
      <c r="Z21" s="32">
        <v>38952</v>
      </c>
      <c r="AA21" s="32">
        <v>39028</v>
      </c>
      <c r="AB21" s="38">
        <v>38899</v>
      </c>
      <c r="AC21" s="37">
        <v>38899</v>
      </c>
      <c r="BY21" s="14" t="s">
        <v>345</v>
      </c>
      <c r="BZ21" s="14" t="s">
        <v>345</v>
      </c>
      <c r="CA21" s="15" t="s">
        <v>345</v>
      </c>
      <c r="CB21" s="15" t="s">
        <v>346</v>
      </c>
    </row>
    <row r="22" spans="1:80" x14ac:dyDescent="0.3">
      <c r="A22" s="3">
        <v>21</v>
      </c>
      <c r="D22" s="3" t="s">
        <v>11</v>
      </c>
      <c r="E22" s="5" t="s">
        <v>42</v>
      </c>
      <c r="F22" s="5" t="s">
        <v>43</v>
      </c>
      <c r="G22" s="5" t="s">
        <v>47</v>
      </c>
      <c r="H22" s="5" t="s">
        <v>50</v>
      </c>
      <c r="K22" s="15">
        <v>48400</v>
      </c>
      <c r="L22" s="15">
        <v>48400</v>
      </c>
      <c r="M22" s="15">
        <v>27561.89</v>
      </c>
      <c r="N22" s="15">
        <v>0</v>
      </c>
      <c r="O22" s="15">
        <v>4891.21</v>
      </c>
      <c r="P22" s="15">
        <v>13526.9</v>
      </c>
      <c r="Q22" s="15">
        <v>2420</v>
      </c>
      <c r="R22" s="16">
        <v>0</v>
      </c>
      <c r="S22" s="16">
        <v>0</v>
      </c>
      <c r="T22" s="16">
        <v>92</v>
      </c>
      <c r="U22" s="16">
        <v>5</v>
      </c>
      <c r="V22" s="10">
        <v>0</v>
      </c>
      <c r="W22" s="10">
        <v>0</v>
      </c>
      <c r="X22" s="10">
        <v>0</v>
      </c>
      <c r="Y22" s="32">
        <v>38915</v>
      </c>
      <c r="Z22" s="32">
        <v>38952</v>
      </c>
      <c r="AA22" s="32">
        <v>39028</v>
      </c>
      <c r="AB22" s="38">
        <v>38899</v>
      </c>
      <c r="AC22" s="37">
        <v>38899</v>
      </c>
      <c r="AD22" s="32"/>
      <c r="BY22" s="14" t="s">
        <v>345</v>
      </c>
      <c r="BZ22" s="14" t="s">
        <v>345</v>
      </c>
      <c r="CA22" s="15" t="s">
        <v>345</v>
      </c>
      <c r="CB22" s="15" t="s">
        <v>346</v>
      </c>
    </row>
    <row r="23" spans="1:80" x14ac:dyDescent="0.3">
      <c r="A23" s="3">
        <v>22</v>
      </c>
      <c r="B23" s="5">
        <v>3</v>
      </c>
      <c r="C23" s="5" t="s">
        <v>51</v>
      </c>
      <c r="D23" s="3" t="s">
        <v>11</v>
      </c>
      <c r="E23" s="5" t="s">
        <v>42</v>
      </c>
      <c r="F23" s="5" t="s">
        <v>43</v>
      </c>
      <c r="G23" s="5" t="s">
        <v>52</v>
      </c>
      <c r="H23" s="5" t="s">
        <v>53</v>
      </c>
      <c r="K23" s="9">
        <v>48903</v>
      </c>
      <c r="L23" s="9">
        <v>45630.83</v>
      </c>
      <c r="M23" s="9">
        <v>29897.72</v>
      </c>
      <c r="N23" s="9">
        <v>0</v>
      </c>
      <c r="O23" s="9">
        <v>1678.37</v>
      </c>
      <c r="P23" s="9">
        <v>12374.51</v>
      </c>
      <c r="Q23" s="9">
        <v>1680.23</v>
      </c>
      <c r="R23" s="10">
        <v>0</v>
      </c>
      <c r="S23" s="10">
        <v>0</v>
      </c>
      <c r="T23" s="10">
        <v>97</v>
      </c>
      <c r="U23" s="10">
        <v>5</v>
      </c>
      <c r="V23" s="10">
        <v>0</v>
      </c>
      <c r="W23" s="10">
        <v>0</v>
      </c>
      <c r="X23" s="10">
        <v>0</v>
      </c>
      <c r="Y23" s="32">
        <v>43188</v>
      </c>
      <c r="Z23" s="32">
        <v>44138</v>
      </c>
      <c r="AA23" s="32">
        <v>44321</v>
      </c>
      <c r="AD23" s="32">
        <v>56766</v>
      </c>
      <c r="BY23" s="14" t="s">
        <v>340</v>
      </c>
      <c r="BZ23" s="14" t="s">
        <v>341</v>
      </c>
      <c r="CA23" s="15" t="s">
        <v>351</v>
      </c>
      <c r="CB23" s="14" t="s">
        <v>343</v>
      </c>
    </row>
    <row r="24" spans="1:80" x14ac:dyDescent="0.3">
      <c r="A24" s="3">
        <v>23</v>
      </c>
      <c r="B24" s="5">
        <v>1</v>
      </c>
      <c r="C24" s="5" t="s">
        <v>54</v>
      </c>
      <c r="D24" s="3" t="s">
        <v>11</v>
      </c>
      <c r="E24" s="5" t="s">
        <v>42</v>
      </c>
      <c r="F24" s="5" t="s">
        <v>43</v>
      </c>
      <c r="G24" s="5" t="s">
        <v>52</v>
      </c>
      <c r="H24" s="5" t="s">
        <v>55</v>
      </c>
      <c r="K24" s="9">
        <v>284373.17</v>
      </c>
      <c r="L24" s="9">
        <v>271910.63999999996</v>
      </c>
      <c r="M24" s="9">
        <v>168358.63</v>
      </c>
      <c r="N24" s="9">
        <v>0</v>
      </c>
      <c r="O24" s="9">
        <v>22790.78</v>
      </c>
      <c r="P24" s="9">
        <v>62593.24</v>
      </c>
      <c r="Q24" s="9">
        <v>18167.990000000002</v>
      </c>
      <c r="R24" s="10">
        <v>0</v>
      </c>
      <c r="S24" s="10">
        <v>0</v>
      </c>
      <c r="T24" s="10">
        <v>548</v>
      </c>
      <c r="U24" s="16">
        <v>32</v>
      </c>
      <c r="V24" s="10">
        <v>0</v>
      </c>
      <c r="W24" s="10">
        <v>0</v>
      </c>
      <c r="X24" s="10">
        <v>0</v>
      </c>
      <c r="Y24" s="32">
        <v>38652</v>
      </c>
      <c r="Z24" s="32">
        <v>38686</v>
      </c>
      <c r="AA24" s="32">
        <v>38715</v>
      </c>
      <c r="AB24" s="32">
        <v>38687</v>
      </c>
      <c r="AC24" s="37">
        <v>38687</v>
      </c>
      <c r="BY24" s="14" t="s">
        <v>345</v>
      </c>
      <c r="BZ24" s="14" t="s">
        <v>345</v>
      </c>
      <c r="CA24" s="15" t="s">
        <v>345</v>
      </c>
      <c r="CB24" s="15" t="s">
        <v>346</v>
      </c>
    </row>
    <row r="25" spans="1:80" x14ac:dyDescent="0.3">
      <c r="A25" s="3">
        <v>24</v>
      </c>
      <c r="B25" s="5">
        <v>3</v>
      </c>
      <c r="C25" s="5" t="s">
        <v>56</v>
      </c>
      <c r="D25" s="3" t="s">
        <v>11</v>
      </c>
      <c r="E25" s="5" t="s">
        <v>42</v>
      </c>
      <c r="F25" s="5" t="s">
        <v>43</v>
      </c>
      <c r="G25" s="5" t="s">
        <v>52</v>
      </c>
      <c r="H25" s="5" t="s">
        <v>57</v>
      </c>
      <c r="K25" s="9">
        <v>430409</v>
      </c>
      <c r="L25" s="9">
        <v>394642.02</v>
      </c>
      <c r="M25" s="9">
        <v>251691.55</v>
      </c>
      <c r="N25" s="9">
        <v>0</v>
      </c>
      <c r="O25" s="9">
        <v>142950.47</v>
      </c>
      <c r="P25" s="9">
        <v>82823.95</v>
      </c>
      <c r="Q25" s="9">
        <v>39304.800000000003</v>
      </c>
      <c r="R25" s="10">
        <v>0</v>
      </c>
      <c r="S25" s="10">
        <v>0</v>
      </c>
      <c r="T25" s="10">
        <v>928</v>
      </c>
      <c r="U25" s="10">
        <v>31</v>
      </c>
      <c r="V25" s="16">
        <v>0</v>
      </c>
      <c r="W25" s="16">
        <v>0</v>
      </c>
      <c r="X25" s="10">
        <v>0</v>
      </c>
      <c r="Y25" s="32">
        <v>40729</v>
      </c>
      <c r="Z25" s="32">
        <v>40982</v>
      </c>
      <c r="AA25" s="32">
        <v>41122</v>
      </c>
      <c r="AB25" s="32">
        <v>41122</v>
      </c>
      <c r="AC25" s="37">
        <v>41122</v>
      </c>
      <c r="BY25" s="14" t="s">
        <v>345</v>
      </c>
      <c r="BZ25" s="14" t="s">
        <v>345</v>
      </c>
      <c r="CA25" s="15" t="s">
        <v>345</v>
      </c>
      <c r="CB25" s="15" t="s">
        <v>346</v>
      </c>
    </row>
    <row r="26" spans="1:80" x14ac:dyDescent="0.3">
      <c r="A26" s="3">
        <v>25</v>
      </c>
      <c r="B26" s="5">
        <v>3</v>
      </c>
      <c r="C26" s="5" t="s">
        <v>58</v>
      </c>
      <c r="D26" s="3" t="s">
        <v>11</v>
      </c>
      <c r="E26" s="5" t="s">
        <v>42</v>
      </c>
      <c r="F26" s="5" t="s">
        <v>43</v>
      </c>
      <c r="G26" s="5" t="s">
        <v>52</v>
      </c>
      <c r="H26" s="5" t="s">
        <v>59</v>
      </c>
      <c r="K26" s="9">
        <v>111003.04</v>
      </c>
      <c r="L26" s="17">
        <v>111003.04</v>
      </c>
      <c r="M26" s="17">
        <v>76733.83</v>
      </c>
      <c r="N26" s="17">
        <v>0</v>
      </c>
      <c r="O26" s="17">
        <v>6971.96</v>
      </c>
      <c r="P26" s="17">
        <v>30170.799999999999</v>
      </c>
      <c r="Q26" s="17">
        <v>4098.41</v>
      </c>
      <c r="R26" s="10">
        <v>0</v>
      </c>
      <c r="S26" s="10">
        <v>0</v>
      </c>
      <c r="T26" s="10">
        <v>246</v>
      </c>
      <c r="U26" s="10">
        <v>14</v>
      </c>
      <c r="V26" s="16">
        <v>0</v>
      </c>
      <c r="W26" s="16">
        <v>0</v>
      </c>
      <c r="X26" s="10">
        <v>0</v>
      </c>
      <c r="Y26" s="32">
        <v>40729</v>
      </c>
      <c r="Z26" s="32">
        <v>44138</v>
      </c>
      <c r="AA26" s="32">
        <v>44321</v>
      </c>
      <c r="AB26" s="32">
        <v>44501</v>
      </c>
      <c r="AC26" s="32">
        <v>45964</v>
      </c>
      <c r="BY26" s="14" t="s">
        <v>340</v>
      </c>
      <c r="BZ26" s="14" t="s">
        <v>341</v>
      </c>
      <c r="CA26" s="15" t="s">
        <v>351</v>
      </c>
      <c r="CB26" s="15" t="s">
        <v>352</v>
      </c>
    </row>
    <row r="27" spans="1:80" x14ac:dyDescent="0.3">
      <c r="A27" s="3">
        <v>26</v>
      </c>
      <c r="B27" s="5">
        <v>5</v>
      </c>
      <c r="C27" s="5" t="s">
        <v>60</v>
      </c>
      <c r="D27" s="3" t="s">
        <v>11</v>
      </c>
      <c r="E27" s="5" t="s">
        <v>42</v>
      </c>
      <c r="F27" s="5" t="s">
        <v>43</v>
      </c>
      <c r="G27" s="5" t="s">
        <v>61</v>
      </c>
      <c r="H27" s="5" t="s">
        <v>33</v>
      </c>
      <c r="K27" s="9">
        <v>609943</v>
      </c>
      <c r="L27" s="9">
        <v>550044.11</v>
      </c>
      <c r="M27" s="9">
        <v>329984.02</v>
      </c>
      <c r="N27" s="9">
        <v>0</v>
      </c>
      <c r="O27" s="9">
        <v>50109.96</v>
      </c>
      <c r="P27" s="9">
        <v>140791.1</v>
      </c>
      <c r="Q27" s="9">
        <v>29159.03</v>
      </c>
      <c r="R27" s="10">
        <v>0</v>
      </c>
      <c r="S27" s="10">
        <v>0</v>
      </c>
      <c r="T27" s="10">
        <v>892</v>
      </c>
      <c r="U27" s="16">
        <v>34</v>
      </c>
      <c r="V27" s="16">
        <v>0</v>
      </c>
      <c r="W27" s="16">
        <v>0</v>
      </c>
      <c r="X27" s="10">
        <v>0</v>
      </c>
      <c r="Y27" s="32">
        <v>38922</v>
      </c>
      <c r="Z27" s="32">
        <v>39106</v>
      </c>
      <c r="AA27" s="32">
        <v>39175</v>
      </c>
      <c r="AB27" s="32">
        <v>39173</v>
      </c>
      <c r="AC27" s="37">
        <v>39173</v>
      </c>
      <c r="BY27" s="14" t="s">
        <v>345</v>
      </c>
      <c r="BZ27" s="14" t="s">
        <v>345</v>
      </c>
      <c r="CA27" s="15" t="s">
        <v>345</v>
      </c>
      <c r="CB27" s="15" t="s">
        <v>346</v>
      </c>
    </row>
    <row r="28" spans="1:80" x14ac:dyDescent="0.3">
      <c r="A28" s="3">
        <v>27</v>
      </c>
      <c r="D28" s="3" t="s">
        <v>11</v>
      </c>
      <c r="E28" s="5" t="s">
        <v>42</v>
      </c>
      <c r="F28" s="5" t="s">
        <v>43</v>
      </c>
      <c r="G28" s="5" t="s">
        <v>62</v>
      </c>
      <c r="H28" s="5" t="s">
        <v>57</v>
      </c>
      <c r="K28" s="9">
        <v>401250</v>
      </c>
      <c r="L28" s="9">
        <v>401250</v>
      </c>
      <c r="M28" s="9">
        <v>251819</v>
      </c>
      <c r="N28" s="9">
        <v>0</v>
      </c>
      <c r="O28" s="9">
        <v>40419.199999999997</v>
      </c>
      <c r="P28" s="9">
        <v>88933.81</v>
      </c>
      <c r="Q28" s="9">
        <v>20077.990000000002</v>
      </c>
      <c r="R28" s="10">
        <v>0</v>
      </c>
      <c r="S28" s="10">
        <v>0</v>
      </c>
      <c r="T28" s="10">
        <v>1306</v>
      </c>
      <c r="U28" s="10">
        <v>33</v>
      </c>
      <c r="V28" s="16">
        <v>0</v>
      </c>
      <c r="W28" s="16">
        <v>0</v>
      </c>
      <c r="X28" s="16">
        <v>0</v>
      </c>
      <c r="Y28" s="32">
        <v>44925</v>
      </c>
      <c r="AA28" s="3"/>
      <c r="AD28" s="32">
        <v>56766</v>
      </c>
      <c r="AE28" s="31">
        <v>8120.93</v>
      </c>
      <c r="AF28" s="45">
        <v>57870.84</v>
      </c>
      <c r="AG28" s="31">
        <v>3090</v>
      </c>
      <c r="AH28" s="31">
        <v>763</v>
      </c>
      <c r="AI28" s="42">
        <v>79</v>
      </c>
      <c r="AJ28" s="42">
        <v>87</v>
      </c>
      <c r="BY28" s="14" t="s">
        <v>353</v>
      </c>
      <c r="BZ28" s="14" t="s">
        <v>341</v>
      </c>
      <c r="CA28" s="15" t="s">
        <v>351</v>
      </c>
      <c r="CB28" s="15" t="s">
        <v>343</v>
      </c>
    </row>
    <row r="29" spans="1:80" x14ac:dyDescent="0.3">
      <c r="A29" s="3">
        <v>28</v>
      </c>
      <c r="D29" s="3" t="s">
        <v>11</v>
      </c>
      <c r="E29" s="5" t="s">
        <v>42</v>
      </c>
      <c r="F29" s="5" t="s">
        <v>43</v>
      </c>
      <c r="G29" s="5" t="s">
        <v>62</v>
      </c>
      <c r="H29" s="5" t="s">
        <v>33</v>
      </c>
      <c r="K29" s="9">
        <v>549900</v>
      </c>
      <c r="L29" s="9">
        <v>533765.67000000004</v>
      </c>
      <c r="M29" s="9">
        <v>317076.11</v>
      </c>
      <c r="N29" s="9">
        <v>0</v>
      </c>
      <c r="O29" s="9">
        <v>53607.32</v>
      </c>
      <c r="P29" s="9">
        <v>136376.82</v>
      </c>
      <c r="Q29" s="9">
        <v>26705.42</v>
      </c>
      <c r="R29" s="10">
        <v>0</v>
      </c>
      <c r="S29" s="10">
        <v>0</v>
      </c>
      <c r="T29" s="10">
        <v>1655</v>
      </c>
      <c r="U29" s="10">
        <v>40</v>
      </c>
      <c r="V29" s="16">
        <v>0</v>
      </c>
      <c r="W29" s="16">
        <v>0</v>
      </c>
      <c r="X29" s="16">
        <v>0</v>
      </c>
      <c r="Y29" s="32">
        <v>41614</v>
      </c>
      <c r="Z29" s="4"/>
      <c r="AA29" s="3"/>
      <c r="AD29" s="32">
        <v>46539</v>
      </c>
      <c r="AE29" s="31">
        <v>11847.65</v>
      </c>
      <c r="AF29" s="30">
        <v>82274.929999999993</v>
      </c>
      <c r="AG29" s="31">
        <v>4022</v>
      </c>
      <c r="AH29" s="31">
        <v>1068</v>
      </c>
      <c r="AI29" s="42">
        <v>85</v>
      </c>
      <c r="AJ29" s="42">
        <v>132</v>
      </c>
      <c r="BY29" s="14" t="s">
        <v>340</v>
      </c>
      <c r="BZ29" s="14" t="s">
        <v>341</v>
      </c>
      <c r="CA29" s="15" t="s">
        <v>351</v>
      </c>
      <c r="CB29" s="15" t="s">
        <v>343</v>
      </c>
    </row>
    <row r="30" spans="1:80" x14ac:dyDescent="0.3">
      <c r="A30" s="3">
        <v>29</v>
      </c>
      <c r="D30" s="3" t="s">
        <v>11</v>
      </c>
      <c r="E30" s="5" t="s">
        <v>42</v>
      </c>
      <c r="F30" s="5" t="s">
        <v>43</v>
      </c>
      <c r="G30" s="5" t="s">
        <v>62</v>
      </c>
      <c r="H30" s="5" t="s">
        <v>53</v>
      </c>
      <c r="K30" s="9">
        <v>708030</v>
      </c>
      <c r="L30" s="9">
        <v>681896.17</v>
      </c>
      <c r="M30" s="9">
        <v>428209.03</v>
      </c>
      <c r="N30" s="9">
        <v>0</v>
      </c>
      <c r="O30" s="9">
        <v>33625.949999999997</v>
      </c>
      <c r="P30" s="9">
        <v>151370.70000000001</v>
      </c>
      <c r="Q30" s="9">
        <v>66194.16</v>
      </c>
      <c r="R30" s="10">
        <v>0</v>
      </c>
      <c r="S30" s="10">
        <v>0</v>
      </c>
      <c r="T30" s="10">
        <v>2220</v>
      </c>
      <c r="U30" s="10">
        <v>48</v>
      </c>
      <c r="V30" s="16">
        <v>0</v>
      </c>
      <c r="W30" s="16">
        <v>0</v>
      </c>
      <c r="X30" s="10">
        <v>0</v>
      </c>
      <c r="Y30" s="32">
        <v>41929</v>
      </c>
      <c r="AA30" s="3"/>
      <c r="AD30" s="32">
        <v>48000</v>
      </c>
      <c r="BY30" s="14" t="s">
        <v>353</v>
      </c>
      <c r="BZ30" s="14" t="s">
        <v>341</v>
      </c>
      <c r="CA30" s="15" t="s">
        <v>351</v>
      </c>
      <c r="CB30" s="15" t="s">
        <v>343</v>
      </c>
    </row>
    <row r="31" spans="1:80" x14ac:dyDescent="0.3">
      <c r="A31" s="3">
        <v>30</v>
      </c>
      <c r="B31" s="5">
        <v>46</v>
      </c>
      <c r="C31" s="5" t="s">
        <v>63</v>
      </c>
      <c r="D31" s="3" t="s">
        <v>11</v>
      </c>
      <c r="E31" s="5" t="s">
        <v>42</v>
      </c>
      <c r="F31" s="5" t="s">
        <v>43</v>
      </c>
      <c r="G31" s="5" t="s">
        <v>62</v>
      </c>
      <c r="H31" s="5" t="s">
        <v>64</v>
      </c>
      <c r="K31" s="9">
        <v>987640.51</v>
      </c>
      <c r="L31" s="9">
        <f>K31-49713.98</f>
        <v>937926.53</v>
      </c>
      <c r="M31" s="9">
        <v>519853.7</v>
      </c>
      <c r="N31" s="9">
        <v>49713.98</v>
      </c>
      <c r="O31" s="9">
        <v>92878.84</v>
      </c>
      <c r="P31" s="9">
        <v>219996.85</v>
      </c>
      <c r="Q31" s="9">
        <v>45335.27</v>
      </c>
      <c r="R31" s="10">
        <v>0</v>
      </c>
      <c r="S31" s="10">
        <v>0</v>
      </c>
      <c r="T31" s="10">
        <v>2041</v>
      </c>
      <c r="U31" s="10">
        <v>57</v>
      </c>
      <c r="V31" s="16">
        <v>0</v>
      </c>
      <c r="W31" s="16">
        <v>0</v>
      </c>
      <c r="X31" s="10">
        <v>0</v>
      </c>
      <c r="Y31" s="32">
        <v>41740</v>
      </c>
      <c r="Z31" s="32">
        <v>41852</v>
      </c>
      <c r="AA31" s="32">
        <v>42570</v>
      </c>
      <c r="AB31" s="32">
        <v>42614</v>
      </c>
      <c r="AC31" s="32">
        <v>44113</v>
      </c>
      <c r="BY31" s="14" t="s">
        <v>345</v>
      </c>
      <c r="BZ31" s="14" t="s">
        <v>341</v>
      </c>
      <c r="CA31" s="15" t="s">
        <v>351</v>
      </c>
      <c r="CB31" s="15" t="s">
        <v>352</v>
      </c>
    </row>
    <row r="32" spans="1:80" x14ac:dyDescent="0.3">
      <c r="A32" s="3">
        <v>31</v>
      </c>
      <c r="B32" s="5">
        <v>54</v>
      </c>
      <c r="C32" s="5" t="s">
        <v>65</v>
      </c>
      <c r="D32" s="3" t="s">
        <v>11</v>
      </c>
      <c r="E32" s="5" t="s">
        <v>42</v>
      </c>
      <c r="F32" s="5" t="s">
        <v>43</v>
      </c>
      <c r="G32" s="5" t="s">
        <v>62</v>
      </c>
      <c r="H32" s="5" t="s">
        <v>40</v>
      </c>
      <c r="K32" s="9">
        <v>440491.49</v>
      </c>
      <c r="L32" s="9">
        <v>440491.49</v>
      </c>
      <c r="M32" s="9">
        <v>206691.89</v>
      </c>
      <c r="N32" s="9">
        <v>76781.08</v>
      </c>
      <c r="O32" s="9">
        <v>38542.11</v>
      </c>
      <c r="P32" s="9">
        <v>100277.65</v>
      </c>
      <c r="Q32" s="9">
        <v>18198.759999999998</v>
      </c>
      <c r="R32" s="10">
        <v>0</v>
      </c>
      <c r="S32" s="10">
        <v>0</v>
      </c>
      <c r="T32" s="10">
        <v>789</v>
      </c>
      <c r="U32" s="10">
        <v>20</v>
      </c>
      <c r="V32" s="16">
        <v>0</v>
      </c>
      <c r="W32" s="16">
        <v>0</v>
      </c>
      <c r="X32" s="10">
        <v>0</v>
      </c>
      <c r="Y32" s="32">
        <v>41740</v>
      </c>
      <c r="Z32" s="32">
        <v>42577</v>
      </c>
      <c r="AA32" s="32">
        <v>42982</v>
      </c>
      <c r="AB32" s="32">
        <v>43922</v>
      </c>
      <c r="AC32" s="32">
        <v>44746</v>
      </c>
      <c r="BY32" s="14" t="s">
        <v>345</v>
      </c>
      <c r="BZ32" s="14" t="s">
        <v>341</v>
      </c>
      <c r="CA32" s="15" t="s">
        <v>351</v>
      </c>
      <c r="CB32" s="15" t="s">
        <v>346</v>
      </c>
    </row>
    <row r="33" spans="1:80" x14ac:dyDescent="0.3">
      <c r="A33" s="3">
        <v>32</v>
      </c>
      <c r="B33" s="5">
        <v>22</v>
      </c>
      <c r="C33" s="5" t="s">
        <v>66</v>
      </c>
      <c r="D33" s="3" t="s">
        <v>11</v>
      </c>
      <c r="E33" s="5" t="s">
        <v>42</v>
      </c>
      <c r="F33" s="5" t="s">
        <v>43</v>
      </c>
      <c r="G33" s="5" t="s">
        <v>67</v>
      </c>
      <c r="H33" s="5" t="s">
        <v>68</v>
      </c>
      <c r="K33" s="9">
        <v>593300</v>
      </c>
      <c r="L33" s="9">
        <v>593300</v>
      </c>
      <c r="M33" s="9">
        <v>360305.05</v>
      </c>
      <c r="N33" s="9">
        <v>0</v>
      </c>
      <c r="O33" s="9">
        <v>44539.47</v>
      </c>
      <c r="P33" s="9">
        <v>143918.47</v>
      </c>
      <c r="Q33" s="9">
        <v>44537.01</v>
      </c>
      <c r="R33" s="10">
        <v>0</v>
      </c>
      <c r="S33" s="10">
        <v>0</v>
      </c>
      <c r="T33" s="10">
        <v>996</v>
      </c>
      <c r="U33" s="10">
        <v>30</v>
      </c>
      <c r="V33" s="16">
        <v>0</v>
      </c>
      <c r="W33" s="16">
        <v>0</v>
      </c>
      <c r="X33" s="10">
        <v>0</v>
      </c>
      <c r="Y33" s="32">
        <v>39227</v>
      </c>
      <c r="Z33" s="32">
        <v>39416</v>
      </c>
      <c r="AA33" s="32">
        <v>39458</v>
      </c>
      <c r="AB33" s="32">
        <v>39479</v>
      </c>
      <c r="AC33" s="37">
        <v>39479</v>
      </c>
      <c r="BY33" s="14" t="s">
        <v>345</v>
      </c>
      <c r="BZ33" s="14" t="s">
        <v>341</v>
      </c>
      <c r="CA33" s="15" t="s">
        <v>345</v>
      </c>
      <c r="CB33" s="15" t="s">
        <v>346</v>
      </c>
    </row>
    <row r="34" spans="1:80" x14ac:dyDescent="0.3">
      <c r="A34" s="3">
        <v>33</v>
      </c>
      <c r="B34" s="5">
        <v>22</v>
      </c>
      <c r="C34" s="5" t="s">
        <v>69</v>
      </c>
      <c r="D34" s="3" t="s">
        <v>11</v>
      </c>
      <c r="E34" s="5" t="s">
        <v>42</v>
      </c>
      <c r="F34" s="5" t="s">
        <v>43</v>
      </c>
      <c r="G34" s="5" t="s">
        <v>67</v>
      </c>
      <c r="H34" s="5" t="s">
        <v>70</v>
      </c>
      <c r="K34" s="9">
        <v>527073.19999999995</v>
      </c>
      <c r="L34" s="9">
        <f>K34-24241.17</f>
        <v>502832.02999999997</v>
      </c>
      <c r="M34" s="9">
        <v>312343.40999999997</v>
      </c>
      <c r="N34" s="9">
        <v>0</v>
      </c>
      <c r="O34" s="9">
        <v>40060.26</v>
      </c>
      <c r="P34" s="9">
        <v>110312.14</v>
      </c>
      <c r="Q34" s="9">
        <v>40116.22</v>
      </c>
      <c r="R34" s="10">
        <v>0</v>
      </c>
      <c r="S34" s="10">
        <v>0</v>
      </c>
      <c r="T34" s="10">
        <v>835</v>
      </c>
      <c r="U34" s="10">
        <v>23</v>
      </c>
      <c r="V34" s="16">
        <v>0</v>
      </c>
      <c r="W34" s="16">
        <v>0</v>
      </c>
      <c r="X34" s="10">
        <v>0</v>
      </c>
      <c r="Y34" s="32">
        <v>39546</v>
      </c>
      <c r="Z34" s="32">
        <v>39742</v>
      </c>
      <c r="AA34" s="32">
        <v>39780</v>
      </c>
      <c r="AB34" s="32">
        <v>39814</v>
      </c>
      <c r="AC34" s="37">
        <v>39814</v>
      </c>
      <c r="BY34" s="14" t="s">
        <v>345</v>
      </c>
      <c r="BZ34" s="14" t="s">
        <v>341</v>
      </c>
      <c r="CA34" s="15" t="s">
        <v>351</v>
      </c>
      <c r="CB34" s="15" t="s">
        <v>346</v>
      </c>
    </row>
    <row r="35" spans="1:80" x14ac:dyDescent="0.3">
      <c r="A35" s="3">
        <v>34</v>
      </c>
      <c r="B35" s="5">
        <v>22</v>
      </c>
      <c r="C35" s="5" t="s">
        <v>71</v>
      </c>
      <c r="D35" s="3" t="s">
        <v>11</v>
      </c>
      <c r="E35" s="5" t="s">
        <v>42</v>
      </c>
      <c r="F35" s="5" t="s">
        <v>43</v>
      </c>
      <c r="G35" s="5" t="s">
        <v>67</v>
      </c>
      <c r="H35" s="5" t="s">
        <v>72</v>
      </c>
      <c r="K35" s="9">
        <v>257585.19</v>
      </c>
      <c r="L35" s="9">
        <v>257585.19</v>
      </c>
      <c r="M35" s="9">
        <v>153090.45000000001</v>
      </c>
      <c r="N35" s="9">
        <v>0</v>
      </c>
      <c r="O35" s="9">
        <v>19461.27</v>
      </c>
      <c r="P35" s="9">
        <v>65726.990000000005</v>
      </c>
      <c r="Q35" s="9">
        <v>19306.48</v>
      </c>
      <c r="R35" s="10">
        <v>0</v>
      </c>
      <c r="S35" s="10">
        <v>0</v>
      </c>
      <c r="T35" s="10">
        <v>409</v>
      </c>
      <c r="U35" s="10">
        <v>17</v>
      </c>
      <c r="V35" s="16">
        <v>0</v>
      </c>
      <c r="W35" s="16">
        <v>0</v>
      </c>
      <c r="X35" s="10">
        <v>0</v>
      </c>
      <c r="Y35" s="32">
        <v>39546</v>
      </c>
      <c r="Z35" s="32">
        <v>39742</v>
      </c>
      <c r="AA35" s="32">
        <v>39812</v>
      </c>
      <c r="AB35" s="32">
        <v>40575</v>
      </c>
      <c r="AC35" s="37">
        <v>40575</v>
      </c>
      <c r="BY35" s="14" t="s">
        <v>345</v>
      </c>
      <c r="BZ35" s="14" t="s">
        <v>341</v>
      </c>
      <c r="CA35" s="15" t="s">
        <v>345</v>
      </c>
      <c r="CB35" s="15" t="s">
        <v>346</v>
      </c>
    </row>
    <row r="36" spans="1:80" x14ac:dyDescent="0.3">
      <c r="A36" s="3">
        <v>35</v>
      </c>
      <c r="D36" s="3" t="s">
        <v>11</v>
      </c>
      <c r="E36" s="5" t="s">
        <v>42</v>
      </c>
      <c r="F36" s="5" t="s">
        <v>43</v>
      </c>
      <c r="G36" s="5" t="s">
        <v>67</v>
      </c>
      <c r="H36" s="5" t="s">
        <v>73</v>
      </c>
      <c r="K36" s="17"/>
      <c r="L36" s="9"/>
      <c r="M36" s="9">
        <v>6399.91</v>
      </c>
      <c r="N36" s="9"/>
      <c r="O36" s="9">
        <f>785.99+573.31+553.67+700.25+503.44+1289.58</f>
        <v>4406.24</v>
      </c>
      <c r="P36" s="9"/>
      <c r="Q36" s="9"/>
      <c r="R36" s="10">
        <v>0</v>
      </c>
      <c r="S36" s="10">
        <v>0</v>
      </c>
      <c r="T36" s="10">
        <v>94</v>
      </c>
      <c r="U36" s="10">
        <v>3</v>
      </c>
      <c r="V36" s="16">
        <v>0</v>
      </c>
      <c r="W36" s="16">
        <v>0</v>
      </c>
      <c r="X36" s="10">
        <v>0</v>
      </c>
      <c r="Y36" s="32">
        <v>39546</v>
      </c>
      <c r="Z36" s="36">
        <v>45808</v>
      </c>
      <c r="AA36" s="36">
        <v>45808</v>
      </c>
      <c r="AB36" s="32"/>
      <c r="AD36" s="32">
        <v>56766</v>
      </c>
      <c r="BY36" s="14" t="s">
        <v>345</v>
      </c>
      <c r="BZ36" s="14" t="s">
        <v>341</v>
      </c>
      <c r="CA36" s="15" t="s">
        <v>345</v>
      </c>
      <c r="CB36" s="14" t="s">
        <v>348</v>
      </c>
    </row>
    <row r="37" spans="1:80" x14ac:dyDescent="0.3">
      <c r="A37" s="3">
        <v>36</v>
      </c>
      <c r="B37" s="5">
        <v>9</v>
      </c>
      <c r="C37" s="5" t="s">
        <v>74</v>
      </c>
      <c r="D37" s="3" t="s">
        <v>11</v>
      </c>
      <c r="E37" s="5" t="s">
        <v>42</v>
      </c>
      <c r="F37" s="5" t="s">
        <v>43</v>
      </c>
      <c r="G37" s="5" t="s">
        <v>67</v>
      </c>
      <c r="H37" s="5" t="s">
        <v>75</v>
      </c>
      <c r="I37">
        <v>-14.061588</v>
      </c>
      <c r="J37">
        <v>-46.340055</v>
      </c>
      <c r="K37" s="9">
        <v>998324</v>
      </c>
      <c r="L37" s="9">
        <f>K37-38036.9</f>
        <v>960287.1</v>
      </c>
      <c r="M37" s="9">
        <v>585677.65</v>
      </c>
      <c r="N37" s="9">
        <v>0</v>
      </c>
      <c r="O37" s="9">
        <f>50348.21+717.39</f>
        <v>51065.599999999999</v>
      </c>
      <c r="P37" s="9">
        <v>223651.17</v>
      </c>
      <c r="Q37" s="9">
        <v>99892.68</v>
      </c>
      <c r="R37" s="10">
        <v>0</v>
      </c>
      <c r="S37" s="10">
        <v>0</v>
      </c>
      <c r="T37" s="10">
        <v>2257</v>
      </c>
      <c r="U37" s="10">
        <v>65</v>
      </c>
      <c r="V37" s="16">
        <v>0</v>
      </c>
      <c r="W37" s="16">
        <v>0</v>
      </c>
      <c r="X37" s="10">
        <v>0</v>
      </c>
      <c r="Y37" s="32">
        <v>41122</v>
      </c>
      <c r="Z37" s="32">
        <v>45480</v>
      </c>
      <c r="AA37" s="32">
        <v>45558</v>
      </c>
      <c r="AB37" s="32">
        <v>45813</v>
      </c>
      <c r="AE37" s="30">
        <v>20995.54</v>
      </c>
      <c r="AF37" s="30">
        <v>146968.78</v>
      </c>
      <c r="AG37" s="30">
        <v>8431.0400000000009</v>
      </c>
      <c r="AH37" s="30">
        <v>1510.09</v>
      </c>
      <c r="AI37">
        <v>152</v>
      </c>
      <c r="AJ37">
        <v>151</v>
      </c>
      <c r="AK37" s="52">
        <v>9.93</v>
      </c>
      <c r="AL37" s="52">
        <v>12.41</v>
      </c>
      <c r="AM37" s="52">
        <v>18.62</v>
      </c>
      <c r="AN37" s="42"/>
      <c r="AO37" s="52">
        <v>0</v>
      </c>
      <c r="AP37" s="30">
        <v>0</v>
      </c>
      <c r="AQ37" s="3" t="s">
        <v>312</v>
      </c>
      <c r="AR37" s="3"/>
      <c r="AS37" s="3"/>
      <c r="AT37" s="30">
        <v>0</v>
      </c>
      <c r="AU37" s="30">
        <v>0</v>
      </c>
      <c r="AV37" s="30">
        <v>0</v>
      </c>
      <c r="AW37" s="30">
        <f>7.94+1.29</f>
        <v>9.23</v>
      </c>
      <c r="AX37" s="30">
        <f>9.93+1.29</f>
        <v>11.219999999999999</v>
      </c>
      <c r="AY37" s="30">
        <v>16.2</v>
      </c>
      <c r="AZ37" s="31"/>
      <c r="BA37" s="31"/>
      <c r="BB37">
        <v>2</v>
      </c>
      <c r="BC37" s="30">
        <v>0.98</v>
      </c>
      <c r="BD37" s="30">
        <v>232</v>
      </c>
      <c r="BE37" s="30">
        <v>16.2</v>
      </c>
      <c r="BF37" s="30">
        <v>2700</v>
      </c>
      <c r="BG37" s="30">
        <v>0</v>
      </c>
      <c r="BH37" s="30">
        <v>0</v>
      </c>
      <c r="BI37" s="30">
        <v>0</v>
      </c>
      <c r="BJ37" s="30">
        <v>0</v>
      </c>
      <c r="BK37" s="30">
        <v>0</v>
      </c>
      <c r="BL37" s="30">
        <v>0</v>
      </c>
      <c r="BM37" s="30">
        <v>0</v>
      </c>
      <c r="BN37" s="30">
        <v>0</v>
      </c>
      <c r="BO37" s="17">
        <v>4248</v>
      </c>
      <c r="BP37" s="17">
        <v>19916</v>
      </c>
      <c r="BQ37" s="10">
        <v>634</v>
      </c>
      <c r="BR37" s="10">
        <v>44</v>
      </c>
      <c r="BS37" s="10">
        <v>0</v>
      </c>
      <c r="BT37" s="10">
        <v>0</v>
      </c>
      <c r="BU37" s="10">
        <v>1</v>
      </c>
      <c r="BV37" s="10">
        <v>0</v>
      </c>
      <c r="BW37" s="10">
        <v>24</v>
      </c>
      <c r="BY37" s="14" t="s">
        <v>340</v>
      </c>
      <c r="BZ37" s="14" t="s">
        <v>341</v>
      </c>
      <c r="CA37" s="15" t="s">
        <v>351</v>
      </c>
      <c r="CB37" s="15" t="s">
        <v>348</v>
      </c>
    </row>
    <row r="38" spans="1:80" x14ac:dyDescent="0.3">
      <c r="A38" s="3">
        <v>37</v>
      </c>
      <c r="D38" s="3" t="s">
        <v>11</v>
      </c>
      <c r="E38" s="5" t="s">
        <v>42</v>
      </c>
      <c r="F38" s="5" t="s">
        <v>43</v>
      </c>
      <c r="G38" s="5" t="s">
        <v>67</v>
      </c>
      <c r="H38" s="5" t="s">
        <v>76</v>
      </c>
      <c r="K38" s="12">
        <v>1008433</v>
      </c>
      <c r="L38" s="12">
        <f>K38</f>
        <v>1008433</v>
      </c>
      <c r="M38" s="12"/>
      <c r="N38" s="12"/>
      <c r="O38" s="12"/>
      <c r="P38" s="12"/>
      <c r="Q38" s="12"/>
      <c r="R38" s="13">
        <v>0</v>
      </c>
      <c r="S38" s="13">
        <f>K38*24/10000</f>
        <v>2420.2392</v>
      </c>
      <c r="T38" s="13"/>
      <c r="U38" s="13"/>
      <c r="V38" s="13">
        <v>0</v>
      </c>
      <c r="W38" s="13">
        <v>0</v>
      </c>
      <c r="X38" s="13">
        <v>0</v>
      </c>
      <c r="Y38" s="36">
        <v>45056</v>
      </c>
      <c r="Z38" s="32"/>
      <c r="AA38" s="32"/>
      <c r="AB38" s="32"/>
      <c r="AD38" s="32">
        <v>47635</v>
      </c>
      <c r="AE38" s="30"/>
      <c r="AF38" s="30"/>
      <c r="AG38" s="30"/>
      <c r="AH38" s="30"/>
      <c r="BO38" s="15"/>
      <c r="BP38" s="15"/>
      <c r="BQ38" s="10"/>
      <c r="BR38" s="10"/>
      <c r="BS38" s="10"/>
      <c r="BT38" s="10"/>
      <c r="BU38" s="10"/>
      <c r="BV38" s="10"/>
      <c r="BW38" s="10"/>
      <c r="BY38" s="14" t="s">
        <v>340</v>
      </c>
      <c r="BZ38" s="14" t="s">
        <v>341</v>
      </c>
      <c r="CA38" s="15" t="s">
        <v>351</v>
      </c>
      <c r="CB38" s="15" t="s">
        <v>344</v>
      </c>
    </row>
    <row r="39" spans="1:80" x14ac:dyDescent="0.3">
      <c r="A39" s="3">
        <v>38</v>
      </c>
      <c r="D39" s="3" t="s">
        <v>11</v>
      </c>
      <c r="E39" s="5" t="s">
        <v>42</v>
      </c>
      <c r="F39" s="5" t="s">
        <v>43</v>
      </c>
      <c r="G39" s="5" t="s">
        <v>67</v>
      </c>
      <c r="H39" s="5" t="s">
        <v>77</v>
      </c>
      <c r="K39" s="12">
        <f>88.346*10000</f>
        <v>883460</v>
      </c>
      <c r="L39" s="12">
        <f>K39</f>
        <v>883460</v>
      </c>
      <c r="M39" s="12"/>
      <c r="N39" s="12"/>
      <c r="O39" s="12"/>
      <c r="P39" s="12"/>
      <c r="Q39" s="12"/>
      <c r="R39" s="13">
        <v>0</v>
      </c>
      <c r="S39" s="13">
        <f>K39*20/10000</f>
        <v>1766.92</v>
      </c>
      <c r="T39" s="13"/>
      <c r="U39" s="13"/>
      <c r="V39" s="13">
        <v>0</v>
      </c>
      <c r="W39" s="13">
        <v>0</v>
      </c>
      <c r="X39" s="13">
        <v>0</v>
      </c>
      <c r="Y39" s="32">
        <v>45056</v>
      </c>
      <c r="AA39" s="3"/>
      <c r="AD39" s="32">
        <v>48000</v>
      </c>
      <c r="BY39" s="14" t="s">
        <v>340</v>
      </c>
      <c r="BZ39" s="14" t="s">
        <v>341</v>
      </c>
      <c r="CA39" s="15" t="s">
        <v>351</v>
      </c>
      <c r="CB39" s="15" t="s">
        <v>344</v>
      </c>
    </row>
    <row r="40" spans="1:80" x14ac:dyDescent="0.3">
      <c r="A40" s="3">
        <v>39</v>
      </c>
      <c r="D40" s="3" t="s">
        <v>11</v>
      </c>
      <c r="E40" s="5" t="s">
        <v>42</v>
      </c>
      <c r="F40" s="5" t="s">
        <v>43</v>
      </c>
      <c r="G40" s="5" t="s">
        <v>67</v>
      </c>
      <c r="H40" s="5" t="s">
        <v>78</v>
      </c>
      <c r="K40" s="12">
        <f>88.9546*10000</f>
        <v>889546</v>
      </c>
      <c r="L40" s="12">
        <f t="shared" ref="L40:L44" si="1">K40</f>
        <v>889546</v>
      </c>
      <c r="M40" s="12"/>
      <c r="N40" s="12"/>
      <c r="O40" s="12"/>
      <c r="P40" s="12"/>
      <c r="Q40" s="12"/>
      <c r="R40" s="13">
        <v>0</v>
      </c>
      <c r="S40" s="13">
        <f t="shared" ref="S40:S44" si="2">K40*20/10000</f>
        <v>1779.0920000000001</v>
      </c>
      <c r="T40" s="13"/>
      <c r="U40" s="13"/>
      <c r="V40" s="13">
        <v>0</v>
      </c>
      <c r="W40" s="13">
        <v>0</v>
      </c>
      <c r="X40" s="13">
        <v>0</v>
      </c>
      <c r="Y40" s="32">
        <v>45056</v>
      </c>
      <c r="AA40" s="3"/>
      <c r="AD40" s="32">
        <v>49096</v>
      </c>
      <c r="BY40" s="14" t="s">
        <v>340</v>
      </c>
      <c r="BZ40" s="14" t="s">
        <v>341</v>
      </c>
      <c r="CA40" s="15" t="s">
        <v>351</v>
      </c>
      <c r="CB40" s="15" t="s">
        <v>344</v>
      </c>
    </row>
    <row r="41" spans="1:80" x14ac:dyDescent="0.3">
      <c r="A41" s="3">
        <v>40</v>
      </c>
      <c r="D41" s="3" t="s">
        <v>11</v>
      </c>
      <c r="E41" s="5" t="s">
        <v>42</v>
      </c>
      <c r="F41" s="5" t="s">
        <v>43</v>
      </c>
      <c r="G41" s="5" t="s">
        <v>67</v>
      </c>
      <c r="H41" s="5" t="s">
        <v>79</v>
      </c>
      <c r="K41" s="12">
        <f>88.5919*10000</f>
        <v>885919</v>
      </c>
      <c r="L41" s="12">
        <f t="shared" si="1"/>
        <v>885919</v>
      </c>
      <c r="M41" s="12"/>
      <c r="N41" s="12"/>
      <c r="O41" s="12"/>
      <c r="P41" s="12"/>
      <c r="Q41" s="12"/>
      <c r="R41" s="13">
        <v>0</v>
      </c>
      <c r="S41" s="13">
        <f t="shared" si="2"/>
        <v>1771.838</v>
      </c>
      <c r="T41" s="13"/>
      <c r="U41" s="13"/>
      <c r="V41" s="13">
        <v>0</v>
      </c>
      <c r="W41" s="13">
        <v>0</v>
      </c>
      <c r="X41" s="13">
        <v>0</v>
      </c>
      <c r="Y41" s="32">
        <v>45056</v>
      </c>
      <c r="AA41" s="3"/>
      <c r="AD41" s="32">
        <v>50192</v>
      </c>
      <c r="BY41" s="14" t="s">
        <v>340</v>
      </c>
      <c r="BZ41" s="14" t="s">
        <v>341</v>
      </c>
      <c r="CA41" s="15" t="s">
        <v>351</v>
      </c>
      <c r="CB41" s="15" t="s">
        <v>344</v>
      </c>
    </row>
    <row r="42" spans="1:80" x14ac:dyDescent="0.3">
      <c r="A42" s="3">
        <v>41</v>
      </c>
      <c r="D42" s="3" t="s">
        <v>11</v>
      </c>
      <c r="E42" s="5" t="s">
        <v>42</v>
      </c>
      <c r="F42" s="5" t="s">
        <v>43</v>
      </c>
      <c r="G42" s="5" t="s">
        <v>67</v>
      </c>
      <c r="H42" s="5" t="s">
        <v>80</v>
      </c>
      <c r="K42" s="12">
        <f>88.7195*10000</f>
        <v>887195</v>
      </c>
      <c r="L42" s="12">
        <f t="shared" si="1"/>
        <v>887195</v>
      </c>
      <c r="M42" s="12"/>
      <c r="N42" s="12"/>
      <c r="O42" s="12"/>
      <c r="P42" s="12"/>
      <c r="Q42" s="12"/>
      <c r="R42" s="13">
        <v>0</v>
      </c>
      <c r="S42" s="13">
        <f t="shared" si="2"/>
        <v>1774.39</v>
      </c>
      <c r="T42" s="13"/>
      <c r="U42" s="13"/>
      <c r="V42" s="13">
        <v>0</v>
      </c>
      <c r="W42" s="13">
        <v>0</v>
      </c>
      <c r="X42" s="13">
        <v>0</v>
      </c>
      <c r="Y42" s="32">
        <v>45056</v>
      </c>
      <c r="AA42" s="3"/>
      <c r="AD42" s="32">
        <v>51288</v>
      </c>
      <c r="BY42" s="14" t="s">
        <v>340</v>
      </c>
      <c r="BZ42" s="14" t="s">
        <v>341</v>
      </c>
      <c r="CA42" s="15" t="s">
        <v>351</v>
      </c>
      <c r="CB42" s="15" t="s">
        <v>344</v>
      </c>
    </row>
    <row r="43" spans="1:80" x14ac:dyDescent="0.3">
      <c r="A43" s="3">
        <v>42</v>
      </c>
      <c r="D43" s="3" t="s">
        <v>11</v>
      </c>
      <c r="E43" s="5" t="s">
        <v>42</v>
      </c>
      <c r="F43" s="5" t="s">
        <v>43</v>
      </c>
      <c r="G43" s="5" t="s">
        <v>67</v>
      </c>
      <c r="H43" s="5" t="s">
        <v>81</v>
      </c>
      <c r="K43" s="12">
        <f>63.8586*10000</f>
        <v>638586</v>
      </c>
      <c r="L43" s="12">
        <f t="shared" si="1"/>
        <v>638586</v>
      </c>
      <c r="M43" s="12"/>
      <c r="N43" s="12"/>
      <c r="O43" s="12"/>
      <c r="P43" s="12"/>
      <c r="Q43" s="12"/>
      <c r="R43" s="13">
        <v>0</v>
      </c>
      <c r="S43" s="13">
        <f t="shared" si="2"/>
        <v>1277.172</v>
      </c>
      <c r="T43" s="13"/>
      <c r="U43" s="13"/>
      <c r="V43" s="13">
        <v>0</v>
      </c>
      <c r="W43" s="13">
        <v>0</v>
      </c>
      <c r="X43" s="13">
        <v>0</v>
      </c>
      <c r="Y43" s="32">
        <v>45056</v>
      </c>
      <c r="AA43" s="3"/>
      <c r="AD43" s="32">
        <v>52383</v>
      </c>
      <c r="BY43" s="14" t="s">
        <v>340</v>
      </c>
      <c r="BZ43" s="14" t="s">
        <v>341</v>
      </c>
      <c r="CA43" s="15" t="s">
        <v>351</v>
      </c>
      <c r="CB43" s="15" t="s">
        <v>344</v>
      </c>
    </row>
    <row r="44" spans="1:80" x14ac:dyDescent="0.3">
      <c r="A44" s="3">
        <v>43</v>
      </c>
      <c r="D44" s="3" t="s">
        <v>11</v>
      </c>
      <c r="E44" s="5" t="s">
        <v>42</v>
      </c>
      <c r="F44" s="5" t="s">
        <v>43</v>
      </c>
      <c r="G44" s="5" t="s">
        <v>67</v>
      </c>
      <c r="H44" s="5" t="s">
        <v>82</v>
      </c>
      <c r="K44" s="12">
        <f>63.9729*10000</f>
        <v>639729</v>
      </c>
      <c r="L44" s="12">
        <f t="shared" si="1"/>
        <v>639729</v>
      </c>
      <c r="M44" s="12"/>
      <c r="N44" s="12"/>
      <c r="O44" s="12"/>
      <c r="P44" s="12"/>
      <c r="Q44" s="12"/>
      <c r="R44" s="13">
        <v>0</v>
      </c>
      <c r="S44" s="13">
        <f t="shared" si="2"/>
        <v>1279.4580000000001</v>
      </c>
      <c r="T44" s="13"/>
      <c r="U44" s="13"/>
      <c r="V44" s="13">
        <v>0</v>
      </c>
      <c r="W44" s="13">
        <v>0</v>
      </c>
      <c r="X44" s="13">
        <v>0</v>
      </c>
      <c r="Y44" s="32">
        <v>45056</v>
      </c>
      <c r="AA44" s="3"/>
      <c r="AD44" s="32">
        <v>53479</v>
      </c>
      <c r="BY44" s="14" t="s">
        <v>340</v>
      </c>
      <c r="BZ44" s="14" t="s">
        <v>341</v>
      </c>
      <c r="CA44" s="15" t="s">
        <v>351</v>
      </c>
      <c r="CB44" s="15" t="s">
        <v>344</v>
      </c>
    </row>
    <row r="45" spans="1:80" x14ac:dyDescent="0.3">
      <c r="A45" s="3">
        <v>44</v>
      </c>
      <c r="D45" s="3" t="s">
        <v>11</v>
      </c>
      <c r="E45" s="5" t="s">
        <v>42</v>
      </c>
      <c r="F45" s="5" t="s">
        <v>43</v>
      </c>
      <c r="G45" s="5" t="s">
        <v>67</v>
      </c>
      <c r="H45" s="5" t="s">
        <v>83</v>
      </c>
      <c r="K45" s="15">
        <f>8.6553*10000</f>
        <v>86553</v>
      </c>
      <c r="L45" s="15">
        <f>K45</f>
        <v>86553</v>
      </c>
      <c r="M45" s="15"/>
      <c r="N45" s="15"/>
      <c r="O45" s="15"/>
      <c r="P45" s="15"/>
      <c r="Q45" s="15"/>
      <c r="R45" s="16">
        <v>0</v>
      </c>
      <c r="S45" s="16">
        <f>K45*20/10000</f>
        <v>173.10599999999999</v>
      </c>
      <c r="T45" s="16"/>
      <c r="U45" s="16"/>
      <c r="V45" s="16">
        <v>0</v>
      </c>
      <c r="W45" s="16">
        <v>0</v>
      </c>
      <c r="X45" s="16">
        <v>0</v>
      </c>
      <c r="Y45" s="32">
        <v>45056</v>
      </c>
      <c r="AA45" s="3"/>
      <c r="AD45" s="32">
        <v>48000</v>
      </c>
      <c r="BY45" s="14" t="s">
        <v>340</v>
      </c>
      <c r="BZ45" s="14" t="s">
        <v>341</v>
      </c>
      <c r="CA45" s="15" t="s">
        <v>351</v>
      </c>
      <c r="CB45" s="15" t="s">
        <v>344</v>
      </c>
    </row>
    <row r="46" spans="1:80" x14ac:dyDescent="0.3">
      <c r="A46" s="3">
        <v>45</v>
      </c>
      <c r="D46" s="3" t="s">
        <v>11</v>
      </c>
      <c r="E46" s="5" t="s">
        <v>42</v>
      </c>
      <c r="F46" s="5" t="s">
        <v>43</v>
      </c>
      <c r="G46" s="5" t="s">
        <v>67</v>
      </c>
      <c r="H46" s="5" t="s">
        <v>84</v>
      </c>
      <c r="K46" s="15">
        <f>4.9144*10000</f>
        <v>49144</v>
      </c>
      <c r="L46" s="15">
        <f>K46</f>
        <v>49144</v>
      </c>
      <c r="M46" s="15"/>
      <c r="N46" s="15"/>
      <c r="O46" s="15"/>
      <c r="P46" s="15"/>
      <c r="Q46" s="15"/>
      <c r="R46" s="16">
        <v>0</v>
      </c>
      <c r="S46" s="16">
        <f>K46*20/10000</f>
        <v>98.287999999999997</v>
      </c>
      <c r="T46" s="16"/>
      <c r="U46" s="16"/>
      <c r="V46" s="16">
        <v>0</v>
      </c>
      <c r="W46" s="16">
        <v>0</v>
      </c>
      <c r="X46" s="16">
        <v>0</v>
      </c>
      <c r="Y46" s="32">
        <v>45056</v>
      </c>
      <c r="AA46" s="3"/>
      <c r="AD46" s="32">
        <v>48000</v>
      </c>
      <c r="BY46" s="14" t="s">
        <v>340</v>
      </c>
      <c r="BZ46" s="14" t="s">
        <v>341</v>
      </c>
      <c r="CA46" s="15" t="s">
        <v>351</v>
      </c>
      <c r="CB46" s="15" t="s">
        <v>344</v>
      </c>
    </row>
    <row r="47" spans="1:80" x14ac:dyDescent="0.3">
      <c r="A47" s="3">
        <v>46</v>
      </c>
      <c r="D47" s="3" t="s">
        <v>11</v>
      </c>
      <c r="E47" s="5" t="s">
        <v>42</v>
      </c>
      <c r="F47" s="5" t="s">
        <v>43</v>
      </c>
      <c r="G47" s="5" t="s">
        <v>67</v>
      </c>
      <c r="H47" s="5" t="s">
        <v>85</v>
      </c>
      <c r="K47" s="12">
        <f>(84.3631+25.5626)*10000</f>
        <v>1099257</v>
      </c>
      <c r="L47" s="48">
        <f>K47-(25.5626*10000)</f>
        <v>843631</v>
      </c>
      <c r="M47" s="12"/>
      <c r="N47" s="12"/>
      <c r="O47" s="12"/>
      <c r="P47" s="12"/>
      <c r="Q47" s="12"/>
      <c r="R47" s="13">
        <v>0</v>
      </c>
      <c r="S47" s="13">
        <f>L47*20/10000</f>
        <v>1687.2619999999999</v>
      </c>
      <c r="T47" s="13"/>
      <c r="U47" s="13"/>
      <c r="V47" s="13">
        <v>0</v>
      </c>
      <c r="W47" s="13">
        <v>0</v>
      </c>
      <c r="X47" s="13">
        <v>0</v>
      </c>
      <c r="Y47" s="32">
        <v>45056</v>
      </c>
      <c r="AA47" s="3"/>
      <c r="AD47" s="32">
        <v>56766</v>
      </c>
      <c r="BY47" s="14" t="s">
        <v>340</v>
      </c>
      <c r="BZ47" s="14" t="s">
        <v>341</v>
      </c>
      <c r="CA47" s="15" t="s">
        <v>351</v>
      </c>
      <c r="CB47" s="15" t="s">
        <v>344</v>
      </c>
    </row>
    <row r="48" spans="1:80" x14ac:dyDescent="0.3">
      <c r="A48" s="3">
        <v>47</v>
      </c>
      <c r="B48" s="5">
        <v>6</v>
      </c>
      <c r="C48" s="5" t="s">
        <v>86</v>
      </c>
      <c r="D48" s="3" t="s">
        <v>11</v>
      </c>
      <c r="E48" s="5" t="s">
        <v>42</v>
      </c>
      <c r="F48" s="5" t="s">
        <v>43</v>
      </c>
      <c r="G48" s="5" t="s">
        <v>87</v>
      </c>
      <c r="H48" s="5" t="s">
        <v>88</v>
      </c>
      <c r="K48" s="9">
        <v>360111.23</v>
      </c>
      <c r="L48" s="9">
        <v>351435.17</v>
      </c>
      <c r="M48" s="9">
        <v>221264.74</v>
      </c>
      <c r="N48" s="9">
        <v>0</v>
      </c>
      <c r="O48" s="9">
        <v>27140.34</v>
      </c>
      <c r="P48" s="9">
        <v>75810.14</v>
      </c>
      <c r="Q48" s="9">
        <v>27219.95</v>
      </c>
      <c r="R48" s="16">
        <v>0</v>
      </c>
      <c r="S48" s="16">
        <v>0</v>
      </c>
      <c r="T48" s="10">
        <v>723</v>
      </c>
      <c r="U48" s="10">
        <v>26</v>
      </c>
      <c r="V48" s="16">
        <v>0</v>
      </c>
      <c r="W48" s="16">
        <v>0</v>
      </c>
      <c r="X48" s="10">
        <v>0</v>
      </c>
      <c r="Y48" s="32">
        <v>39126</v>
      </c>
      <c r="Z48" s="32">
        <v>39365</v>
      </c>
      <c r="AA48" s="32">
        <v>39395</v>
      </c>
      <c r="AB48" s="32">
        <v>39387</v>
      </c>
      <c r="AC48" s="37">
        <v>39387</v>
      </c>
      <c r="BY48" s="14" t="s">
        <v>345</v>
      </c>
      <c r="BZ48" s="14" t="s">
        <v>345</v>
      </c>
      <c r="CA48" s="15" t="s">
        <v>345</v>
      </c>
      <c r="CB48" s="15" t="s">
        <v>346</v>
      </c>
    </row>
    <row r="49" spans="1:80" x14ac:dyDescent="0.3">
      <c r="A49" s="3">
        <v>48</v>
      </c>
      <c r="B49" s="5">
        <v>6</v>
      </c>
      <c r="C49" s="5" t="s">
        <v>89</v>
      </c>
      <c r="D49" s="3" t="s">
        <v>11</v>
      </c>
      <c r="E49" s="5" t="s">
        <v>42</v>
      </c>
      <c r="F49" s="5" t="s">
        <v>43</v>
      </c>
      <c r="G49" s="5" t="s">
        <v>87</v>
      </c>
      <c r="H49" s="5" t="s">
        <v>90</v>
      </c>
      <c r="K49" s="9">
        <v>217800</v>
      </c>
      <c r="L49" s="9">
        <v>191485.04</v>
      </c>
      <c r="M49" s="9">
        <v>115955.13</v>
      </c>
      <c r="N49" s="9">
        <v>0</v>
      </c>
      <c r="O49" s="9">
        <v>15384.77</v>
      </c>
      <c r="P49" s="9">
        <v>46313.09</v>
      </c>
      <c r="Q49" s="9">
        <v>13832.05</v>
      </c>
      <c r="R49" s="16">
        <v>0</v>
      </c>
      <c r="S49" s="16">
        <v>0</v>
      </c>
      <c r="T49" s="10">
        <v>377</v>
      </c>
      <c r="U49" s="10">
        <v>16</v>
      </c>
      <c r="V49" s="16">
        <v>0</v>
      </c>
      <c r="W49" s="16">
        <v>0</v>
      </c>
      <c r="X49" s="10">
        <v>0</v>
      </c>
      <c r="Y49" s="32">
        <v>38932</v>
      </c>
      <c r="Z49" s="32">
        <v>39021</v>
      </c>
      <c r="AA49" s="32">
        <v>39055</v>
      </c>
      <c r="AB49" s="32">
        <v>39417</v>
      </c>
      <c r="AC49" s="37">
        <v>39417</v>
      </c>
      <c r="BY49" s="14" t="s">
        <v>345</v>
      </c>
      <c r="BZ49" s="14" t="s">
        <v>345</v>
      </c>
      <c r="CA49" s="15" t="s">
        <v>345</v>
      </c>
      <c r="CB49" s="15" t="s">
        <v>346</v>
      </c>
    </row>
    <row r="50" spans="1:80" x14ac:dyDescent="0.3">
      <c r="A50" s="3">
        <v>49</v>
      </c>
      <c r="B50" s="5">
        <v>8</v>
      </c>
      <c r="C50" s="5" t="s">
        <v>91</v>
      </c>
      <c r="D50" s="3" t="s">
        <v>11</v>
      </c>
      <c r="E50" s="5" t="s">
        <v>92</v>
      </c>
      <c r="F50" s="5" t="s">
        <v>93</v>
      </c>
      <c r="G50" s="5" t="s">
        <v>94</v>
      </c>
      <c r="H50" s="5" t="s">
        <v>33</v>
      </c>
      <c r="K50" s="9">
        <v>837706</v>
      </c>
      <c r="L50" s="9">
        <v>811736.34</v>
      </c>
      <c r="M50" s="9">
        <v>503492.31</v>
      </c>
      <c r="N50" s="9">
        <v>0</v>
      </c>
      <c r="O50" s="9">
        <v>27426.89</v>
      </c>
      <c r="P50" s="9">
        <v>220553.18</v>
      </c>
      <c r="Q50" s="9">
        <v>60263.96</v>
      </c>
      <c r="R50" s="16">
        <v>0</v>
      </c>
      <c r="S50" s="16">
        <v>0</v>
      </c>
      <c r="T50" s="10">
        <v>1890</v>
      </c>
      <c r="U50" s="10">
        <v>63</v>
      </c>
      <c r="V50" s="16">
        <v>0</v>
      </c>
      <c r="W50" s="16">
        <v>0</v>
      </c>
      <c r="X50" s="10">
        <v>0</v>
      </c>
      <c r="Y50" s="32">
        <v>40525</v>
      </c>
      <c r="Z50" s="32">
        <v>40773</v>
      </c>
      <c r="AA50" s="32">
        <v>40931</v>
      </c>
      <c r="AB50" s="36">
        <v>41214</v>
      </c>
      <c r="AC50" s="32">
        <v>40876</v>
      </c>
      <c r="AD50"/>
      <c r="BY50" s="14" t="s">
        <v>345</v>
      </c>
      <c r="BZ50" s="14" t="s">
        <v>345</v>
      </c>
      <c r="CA50" s="15" t="s">
        <v>345</v>
      </c>
      <c r="CB50" s="15" t="s">
        <v>346</v>
      </c>
    </row>
    <row r="51" spans="1:80" x14ac:dyDescent="0.3">
      <c r="A51" s="3">
        <v>50</v>
      </c>
      <c r="B51" s="5">
        <v>2</v>
      </c>
      <c r="C51" s="5" t="s">
        <v>95</v>
      </c>
      <c r="D51" s="3" t="s">
        <v>11</v>
      </c>
      <c r="E51" s="5" t="s">
        <v>92</v>
      </c>
      <c r="F51" s="5" t="s">
        <v>93</v>
      </c>
      <c r="G51" s="5" t="s">
        <v>96</v>
      </c>
      <c r="H51" s="5" t="s">
        <v>33</v>
      </c>
      <c r="K51" s="9">
        <v>702303</v>
      </c>
      <c r="L51" s="9">
        <v>687617.42</v>
      </c>
      <c r="M51" s="9">
        <v>341643.72</v>
      </c>
      <c r="N51" s="9">
        <v>161959.98000000001</v>
      </c>
      <c r="O51" s="9">
        <v>27518.77</v>
      </c>
      <c r="P51" s="9">
        <v>128605.7</v>
      </c>
      <c r="Q51" s="9">
        <v>27889.25</v>
      </c>
      <c r="R51" s="16">
        <v>0</v>
      </c>
      <c r="S51" s="16">
        <v>0</v>
      </c>
      <c r="T51" s="10">
        <v>1607</v>
      </c>
      <c r="U51" s="10">
        <v>42</v>
      </c>
      <c r="V51" s="16">
        <v>0</v>
      </c>
      <c r="W51" s="16">
        <v>0</v>
      </c>
      <c r="X51" s="10">
        <v>0</v>
      </c>
      <c r="Y51" s="32">
        <v>44713</v>
      </c>
      <c r="AD51" s="32">
        <v>56766</v>
      </c>
      <c r="BY51" s="14" t="s">
        <v>340</v>
      </c>
      <c r="BZ51" s="14" t="s">
        <v>341</v>
      </c>
      <c r="CA51" s="15" t="s">
        <v>342</v>
      </c>
      <c r="CB51" s="15" t="s">
        <v>343</v>
      </c>
    </row>
    <row r="52" spans="1:80" x14ac:dyDescent="0.3">
      <c r="A52" s="3">
        <v>51</v>
      </c>
      <c r="B52" s="5">
        <v>2</v>
      </c>
      <c r="C52" s="5" t="s">
        <v>97</v>
      </c>
      <c r="D52" s="3" t="s">
        <v>11</v>
      </c>
      <c r="E52" s="5" t="s">
        <v>92</v>
      </c>
      <c r="F52" s="5" t="s">
        <v>93</v>
      </c>
      <c r="G52" s="5" t="s">
        <v>96</v>
      </c>
      <c r="H52" s="5" t="s">
        <v>98</v>
      </c>
      <c r="K52" s="9">
        <v>404669</v>
      </c>
      <c r="L52" s="9">
        <v>397498.97</v>
      </c>
      <c r="M52" s="9">
        <v>245863.05</v>
      </c>
      <c r="N52" s="9">
        <v>0</v>
      </c>
      <c r="O52" s="9">
        <v>18186.740000000002</v>
      </c>
      <c r="P52" s="9">
        <v>118738.1</v>
      </c>
      <c r="Q52" s="9">
        <v>14711.08</v>
      </c>
      <c r="R52" s="16">
        <v>0</v>
      </c>
      <c r="S52" s="16">
        <v>0</v>
      </c>
      <c r="T52" s="10">
        <v>1087</v>
      </c>
      <c r="U52" s="10">
        <v>35</v>
      </c>
      <c r="V52" s="16">
        <v>0</v>
      </c>
      <c r="W52" s="16">
        <v>0</v>
      </c>
      <c r="X52" s="10">
        <v>0</v>
      </c>
      <c r="Y52" s="32">
        <v>40632</v>
      </c>
      <c r="Z52" s="32">
        <v>42832</v>
      </c>
      <c r="AA52" s="39">
        <v>42951</v>
      </c>
      <c r="AB52" s="32">
        <v>43040</v>
      </c>
      <c r="AC52" s="32">
        <v>44088</v>
      </c>
      <c r="AD52"/>
      <c r="BY52" s="14" t="s">
        <v>340</v>
      </c>
      <c r="BZ52" s="14" t="s">
        <v>341</v>
      </c>
      <c r="CA52" s="15" t="s">
        <v>342</v>
      </c>
      <c r="CB52" s="15" t="s">
        <v>352</v>
      </c>
    </row>
    <row r="53" spans="1:80" x14ac:dyDescent="0.3">
      <c r="A53" s="3">
        <v>52</v>
      </c>
      <c r="B53" s="5">
        <v>7</v>
      </c>
      <c r="C53" s="5" t="s">
        <v>99</v>
      </c>
      <c r="D53" s="3" t="s">
        <v>11</v>
      </c>
      <c r="E53" s="5" t="s">
        <v>92</v>
      </c>
      <c r="F53" s="5" t="s">
        <v>93</v>
      </c>
      <c r="G53" s="5" t="s">
        <v>96</v>
      </c>
      <c r="H53" s="5" t="s">
        <v>100</v>
      </c>
      <c r="K53" s="12">
        <v>635660.67000000004</v>
      </c>
      <c r="L53" s="12">
        <v>635660.67000000004</v>
      </c>
      <c r="M53" s="12"/>
      <c r="N53" s="12"/>
      <c r="O53" s="12"/>
      <c r="P53" s="12"/>
      <c r="Q53" s="12"/>
      <c r="R53" s="13">
        <v>0</v>
      </c>
      <c r="S53" s="13">
        <v>0</v>
      </c>
      <c r="T53" s="13">
        <f>1099+140</f>
        <v>1239</v>
      </c>
      <c r="U53" s="13"/>
      <c r="V53" s="13">
        <v>0</v>
      </c>
      <c r="W53" s="13">
        <v>0</v>
      </c>
      <c r="X53" s="13">
        <v>0</v>
      </c>
      <c r="Y53" s="32">
        <v>40652</v>
      </c>
      <c r="Z53" s="32">
        <v>40666</v>
      </c>
      <c r="AA53" s="39">
        <v>40778</v>
      </c>
      <c r="AB53" s="32">
        <v>40756</v>
      </c>
      <c r="AC53" s="32">
        <v>43454</v>
      </c>
      <c r="AD53"/>
      <c r="BY53" s="14" t="s">
        <v>340</v>
      </c>
      <c r="BZ53" s="14" t="s">
        <v>341</v>
      </c>
      <c r="CA53" s="15" t="s">
        <v>342</v>
      </c>
      <c r="CB53" s="15" t="s">
        <v>352</v>
      </c>
    </row>
    <row r="54" spans="1:80" x14ac:dyDescent="0.3">
      <c r="A54" s="3">
        <v>53</v>
      </c>
      <c r="B54" s="5">
        <v>38</v>
      </c>
      <c r="C54" s="5" t="s">
        <v>101</v>
      </c>
      <c r="D54" s="3" t="s">
        <v>11</v>
      </c>
      <c r="E54" s="5" t="s">
        <v>92</v>
      </c>
      <c r="F54" s="5" t="s">
        <v>93</v>
      </c>
      <c r="G54" s="5" t="s">
        <v>102</v>
      </c>
      <c r="H54" s="5" t="s">
        <v>53</v>
      </c>
      <c r="K54" s="9">
        <v>712849.1</v>
      </c>
      <c r="L54" s="9">
        <v>712849.1</v>
      </c>
      <c r="M54" s="9">
        <v>437740.36</v>
      </c>
      <c r="N54" s="9">
        <v>0</v>
      </c>
      <c r="O54" s="9">
        <v>35642.46</v>
      </c>
      <c r="P54" s="9">
        <v>167629.44</v>
      </c>
      <c r="Q54" s="9">
        <v>71836.84</v>
      </c>
      <c r="R54" s="16">
        <v>0</v>
      </c>
      <c r="S54" s="16">
        <v>0</v>
      </c>
      <c r="T54" s="10">
        <v>1668</v>
      </c>
      <c r="U54" s="10">
        <v>52</v>
      </c>
      <c r="V54" s="16">
        <v>0</v>
      </c>
      <c r="W54" s="16">
        <v>0</v>
      </c>
      <c r="X54" s="10">
        <v>0</v>
      </c>
      <c r="Y54" s="32">
        <v>41429</v>
      </c>
      <c r="Z54" s="32">
        <v>41628</v>
      </c>
      <c r="AA54" s="39">
        <v>41662</v>
      </c>
      <c r="AB54" s="32">
        <v>41852</v>
      </c>
      <c r="AC54" s="4"/>
      <c r="AD54"/>
      <c r="BY54" s="14" t="s">
        <v>345</v>
      </c>
      <c r="BZ54" s="14" t="s">
        <v>345</v>
      </c>
      <c r="CA54" s="15" t="s">
        <v>342</v>
      </c>
      <c r="CB54" s="15" t="s">
        <v>352</v>
      </c>
    </row>
    <row r="55" spans="1:80" x14ac:dyDescent="0.3">
      <c r="A55" s="3">
        <v>54</v>
      </c>
      <c r="B55" s="5">
        <v>2</v>
      </c>
      <c r="C55" s="5" t="s">
        <v>103</v>
      </c>
      <c r="D55" s="3" t="s">
        <v>11</v>
      </c>
      <c r="E55" s="5" t="s">
        <v>92</v>
      </c>
      <c r="F55" s="5" t="s">
        <v>93</v>
      </c>
      <c r="G55" s="5" t="s">
        <v>104</v>
      </c>
      <c r="H55" s="5" t="s">
        <v>105</v>
      </c>
      <c r="K55" s="15">
        <v>500000</v>
      </c>
      <c r="L55" s="17">
        <v>385782.88</v>
      </c>
      <c r="M55" s="17">
        <v>218747.59</v>
      </c>
      <c r="N55" s="17">
        <v>0</v>
      </c>
      <c r="O55" s="17">
        <v>29235.31</v>
      </c>
      <c r="P55" s="17">
        <v>108683.23</v>
      </c>
      <c r="Q55" s="17">
        <v>29116.75</v>
      </c>
      <c r="R55" s="16">
        <v>0</v>
      </c>
      <c r="S55" s="16">
        <v>0</v>
      </c>
      <c r="T55" s="16">
        <v>612</v>
      </c>
      <c r="U55" s="16">
        <v>32</v>
      </c>
      <c r="V55" s="16">
        <v>0</v>
      </c>
      <c r="W55" s="16">
        <v>0</v>
      </c>
      <c r="X55" s="10">
        <v>0</v>
      </c>
      <c r="Y55" s="32">
        <v>40735</v>
      </c>
      <c r="Z55" s="32">
        <v>40973</v>
      </c>
      <c r="AA55" s="39">
        <v>46097</v>
      </c>
      <c r="AB55" s="32">
        <v>40969</v>
      </c>
      <c r="AD55" s="32"/>
      <c r="BY55" s="14" t="s">
        <v>340</v>
      </c>
      <c r="BZ55" s="14" t="s">
        <v>341</v>
      </c>
      <c r="CA55" s="15" t="s">
        <v>342</v>
      </c>
      <c r="CB55" s="15" t="s">
        <v>354</v>
      </c>
    </row>
    <row r="56" spans="1:80" x14ac:dyDescent="0.3">
      <c r="A56" s="3">
        <v>55</v>
      </c>
      <c r="D56" s="3" t="s">
        <v>11</v>
      </c>
      <c r="E56" s="5" t="s">
        <v>92</v>
      </c>
      <c r="F56" s="5" t="s">
        <v>93</v>
      </c>
      <c r="G56" s="5" t="s">
        <v>106</v>
      </c>
      <c r="H56" s="5" t="s">
        <v>107</v>
      </c>
      <c r="K56" s="12">
        <f>1631256.56/3</f>
        <v>543752.18666666665</v>
      </c>
      <c r="L56" s="12">
        <f>1467010.43/3</f>
        <v>489003.47666666663</v>
      </c>
      <c r="M56" s="12"/>
      <c r="N56" s="12"/>
      <c r="O56" s="12"/>
      <c r="P56" s="12"/>
      <c r="Q56" s="12"/>
      <c r="R56" s="13">
        <v>0</v>
      </c>
      <c r="S56" s="13">
        <f>K56*25/10000</f>
        <v>1359.3804666666665</v>
      </c>
      <c r="T56" s="13"/>
      <c r="U56" s="13"/>
      <c r="V56" s="13">
        <v>0</v>
      </c>
      <c r="W56" s="13">
        <v>0</v>
      </c>
      <c r="X56" s="13">
        <v>0</v>
      </c>
      <c r="Y56" s="32">
        <v>45495</v>
      </c>
      <c r="AD56" s="32">
        <v>56766</v>
      </c>
      <c r="BY56" s="14" t="s">
        <v>353</v>
      </c>
      <c r="BZ56" s="14" t="s">
        <v>341</v>
      </c>
      <c r="CA56" s="15" t="s">
        <v>342</v>
      </c>
      <c r="CB56" s="15" t="s">
        <v>350</v>
      </c>
    </row>
    <row r="57" spans="1:80" x14ac:dyDescent="0.3">
      <c r="A57" s="3">
        <v>56</v>
      </c>
      <c r="D57" s="3" t="s">
        <v>11</v>
      </c>
      <c r="E57" s="5" t="s">
        <v>92</v>
      </c>
      <c r="F57" s="5" t="s">
        <v>93</v>
      </c>
      <c r="G57" s="5" t="s">
        <v>106</v>
      </c>
      <c r="H57" s="5" t="s">
        <v>108</v>
      </c>
      <c r="K57" s="12">
        <f t="shared" ref="K57:K58" si="3">1631256.56/3</f>
        <v>543752.18666666665</v>
      </c>
      <c r="L57" s="12">
        <f t="shared" ref="L57:L58" si="4">1467010.43/3</f>
        <v>489003.47666666663</v>
      </c>
      <c r="M57" s="12"/>
      <c r="N57" s="12"/>
      <c r="O57" s="12"/>
      <c r="P57" s="12"/>
      <c r="Q57" s="12"/>
      <c r="R57" s="13">
        <v>0</v>
      </c>
      <c r="S57" s="13">
        <f t="shared" ref="S57:S58" si="5">K57*25/10000</f>
        <v>1359.3804666666665</v>
      </c>
      <c r="T57" s="13"/>
      <c r="U57" s="13"/>
      <c r="V57" s="13"/>
      <c r="W57" s="13"/>
      <c r="X57" s="13"/>
      <c r="Y57" s="32">
        <v>45495</v>
      </c>
      <c r="AD57" s="32">
        <v>48000</v>
      </c>
      <c r="BY57" s="14" t="s">
        <v>353</v>
      </c>
      <c r="BZ57" s="14" t="s">
        <v>341</v>
      </c>
      <c r="CA57" s="15" t="s">
        <v>342</v>
      </c>
      <c r="CB57" s="15" t="s">
        <v>350</v>
      </c>
    </row>
    <row r="58" spans="1:80" x14ac:dyDescent="0.3">
      <c r="A58" s="3">
        <v>57</v>
      </c>
      <c r="D58" s="3" t="s">
        <v>11</v>
      </c>
      <c r="E58" s="5" t="s">
        <v>92</v>
      </c>
      <c r="F58" s="5" t="s">
        <v>93</v>
      </c>
      <c r="G58" s="5" t="s">
        <v>106</v>
      </c>
      <c r="H58" s="5" t="s">
        <v>109</v>
      </c>
      <c r="K58" s="12">
        <f t="shared" si="3"/>
        <v>543752.18666666665</v>
      </c>
      <c r="L58" s="12">
        <f t="shared" si="4"/>
        <v>489003.47666666663</v>
      </c>
      <c r="M58" s="12"/>
      <c r="N58" s="12"/>
      <c r="O58" s="12"/>
      <c r="P58" s="12"/>
      <c r="Q58" s="12"/>
      <c r="R58" s="13">
        <v>0</v>
      </c>
      <c r="S58" s="13">
        <f t="shared" si="5"/>
        <v>1359.3804666666665</v>
      </c>
      <c r="T58" s="13"/>
      <c r="U58" s="13"/>
      <c r="V58" s="13"/>
      <c r="W58" s="13"/>
      <c r="X58" s="13"/>
      <c r="Y58" s="32">
        <v>45495</v>
      </c>
      <c r="AD58" s="32">
        <v>49096</v>
      </c>
      <c r="BY58" s="14" t="s">
        <v>353</v>
      </c>
      <c r="BZ58" s="14" t="s">
        <v>341</v>
      </c>
      <c r="CA58" s="15" t="s">
        <v>342</v>
      </c>
      <c r="CB58" s="15" t="s">
        <v>350</v>
      </c>
    </row>
    <row r="59" spans="1:80" x14ac:dyDescent="0.3">
      <c r="A59" s="3">
        <v>58</v>
      </c>
      <c r="B59" s="5">
        <v>33</v>
      </c>
      <c r="C59" s="5" t="s">
        <v>110</v>
      </c>
      <c r="D59" s="3" t="s">
        <v>11</v>
      </c>
      <c r="E59" s="5" t="s">
        <v>92</v>
      </c>
      <c r="F59" s="5" t="s">
        <v>93</v>
      </c>
      <c r="G59" s="5" t="s">
        <v>106</v>
      </c>
      <c r="H59" s="5" t="s">
        <v>33</v>
      </c>
      <c r="K59" s="9">
        <v>1604180</v>
      </c>
      <c r="L59" s="17">
        <v>991103.41</v>
      </c>
      <c r="M59" s="17">
        <v>604858.49</v>
      </c>
      <c r="N59" s="17">
        <v>613076.59</v>
      </c>
      <c r="O59" s="17">
        <v>376069.18</v>
      </c>
      <c r="P59" s="17">
        <v>267552.40000000002</v>
      </c>
      <c r="Q59" s="17">
        <v>44173.64</v>
      </c>
      <c r="R59" s="16">
        <v>0</v>
      </c>
      <c r="S59" s="16">
        <v>0</v>
      </c>
      <c r="T59" s="10">
        <v>2211</v>
      </c>
      <c r="U59" s="10">
        <v>67</v>
      </c>
      <c r="V59" s="16"/>
      <c r="W59" s="16"/>
      <c r="X59" s="10">
        <v>0</v>
      </c>
      <c r="Y59" s="32">
        <v>41079</v>
      </c>
      <c r="Z59" s="32">
        <v>41219</v>
      </c>
      <c r="AA59" s="39">
        <v>41254</v>
      </c>
      <c r="AB59" s="32">
        <v>41244</v>
      </c>
      <c r="AC59" s="32">
        <v>43427</v>
      </c>
      <c r="AD59"/>
      <c r="BY59" s="14" t="s">
        <v>340</v>
      </c>
      <c r="BZ59" s="14" t="s">
        <v>341</v>
      </c>
      <c r="CA59" s="15" t="s">
        <v>342</v>
      </c>
      <c r="CB59" s="15" t="s">
        <v>352</v>
      </c>
    </row>
    <row r="60" spans="1:80" x14ac:dyDescent="0.3">
      <c r="A60" s="3">
        <v>59</v>
      </c>
      <c r="B60" s="5">
        <v>15</v>
      </c>
      <c r="C60" s="5" t="s">
        <v>111</v>
      </c>
      <c r="D60" s="3" t="s">
        <v>11</v>
      </c>
      <c r="E60" s="5" t="s">
        <v>92</v>
      </c>
      <c r="F60" s="5" t="s">
        <v>93</v>
      </c>
      <c r="G60" s="5" t="s">
        <v>106</v>
      </c>
      <c r="H60" s="5" t="s">
        <v>34</v>
      </c>
      <c r="K60" s="15">
        <v>616151.09</v>
      </c>
      <c r="L60" s="15">
        <v>596259.54</v>
      </c>
      <c r="M60" s="15">
        <v>381330.19</v>
      </c>
      <c r="N60" s="9">
        <v>0</v>
      </c>
      <c r="O60" s="15">
        <v>37763.29</v>
      </c>
      <c r="P60" s="15">
        <v>130754.92</v>
      </c>
      <c r="Q60" s="15">
        <v>46411.14</v>
      </c>
      <c r="R60" s="16">
        <v>0</v>
      </c>
      <c r="S60" s="16">
        <v>0</v>
      </c>
      <c r="T60" s="16">
        <v>1503</v>
      </c>
      <c r="U60" s="16">
        <v>40</v>
      </c>
      <c r="V60" s="16">
        <v>0</v>
      </c>
      <c r="W60" s="16">
        <v>0</v>
      </c>
      <c r="X60" s="16">
        <v>1503</v>
      </c>
      <c r="Y60" s="32">
        <v>41670</v>
      </c>
      <c r="Z60" s="32">
        <v>42514</v>
      </c>
      <c r="AA60" s="39">
        <v>42685</v>
      </c>
      <c r="AD60"/>
      <c r="BY60" s="14" t="s">
        <v>345</v>
      </c>
      <c r="BZ60" s="14" t="s">
        <v>345</v>
      </c>
      <c r="CA60" s="15" t="s">
        <v>345</v>
      </c>
      <c r="CB60" s="15" t="s">
        <v>344</v>
      </c>
    </row>
    <row r="61" spans="1:80" x14ac:dyDescent="0.3">
      <c r="A61" s="3">
        <v>60</v>
      </c>
      <c r="B61" s="5">
        <v>15</v>
      </c>
      <c r="C61" s="5" t="s">
        <v>112</v>
      </c>
      <c r="D61" s="3" t="s">
        <v>11</v>
      </c>
      <c r="E61" s="5" t="s">
        <v>92</v>
      </c>
      <c r="F61" s="5" t="s">
        <v>93</v>
      </c>
      <c r="G61" s="5" t="s">
        <v>106</v>
      </c>
      <c r="H61" s="5" t="s">
        <v>53</v>
      </c>
      <c r="K61" s="15">
        <v>364600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6">
        <v>0</v>
      </c>
      <c r="S61" s="16">
        <v>846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37">
        <v>43284</v>
      </c>
      <c r="Z61" s="40"/>
      <c r="AA61" s="41"/>
      <c r="AB61" s="40"/>
      <c r="AD61" s="32">
        <v>50192</v>
      </c>
      <c r="BY61" s="14" t="s">
        <v>345</v>
      </c>
      <c r="BZ61" s="14" t="s">
        <v>345</v>
      </c>
      <c r="CA61" s="15" t="s">
        <v>345</v>
      </c>
      <c r="CB61" s="15" t="s">
        <v>344</v>
      </c>
    </row>
    <row r="62" spans="1:80" x14ac:dyDescent="0.3">
      <c r="A62" s="3">
        <v>61</v>
      </c>
      <c r="D62" s="3" t="s">
        <v>11</v>
      </c>
      <c r="E62" s="5" t="s">
        <v>92</v>
      </c>
      <c r="F62" s="5" t="s">
        <v>93</v>
      </c>
      <c r="G62" s="5" t="s">
        <v>113</v>
      </c>
      <c r="H62" s="5" t="s">
        <v>53</v>
      </c>
      <c r="K62" s="9">
        <v>270000</v>
      </c>
      <c r="L62" s="9">
        <v>270000</v>
      </c>
      <c r="M62" s="9">
        <v>151783.38</v>
      </c>
      <c r="N62" s="9">
        <v>0</v>
      </c>
      <c r="O62" s="9">
        <v>22002.27</v>
      </c>
      <c r="P62" s="9">
        <v>65281.85</v>
      </c>
      <c r="Q62" s="9">
        <v>30932.5</v>
      </c>
      <c r="R62" s="16">
        <v>0</v>
      </c>
      <c r="S62" s="16">
        <v>0</v>
      </c>
      <c r="T62" s="10">
        <v>707</v>
      </c>
      <c r="U62" s="10">
        <v>21</v>
      </c>
      <c r="V62" s="16">
        <v>0</v>
      </c>
      <c r="W62" s="16">
        <v>0</v>
      </c>
      <c r="X62" s="16">
        <v>0</v>
      </c>
      <c r="Y62" s="32">
        <v>42094</v>
      </c>
      <c r="Z62" s="32">
        <v>42293</v>
      </c>
      <c r="AA62" s="39">
        <v>42333</v>
      </c>
      <c r="AB62" s="32">
        <v>42339</v>
      </c>
      <c r="AC62" s="32">
        <v>44907</v>
      </c>
      <c r="AD62"/>
      <c r="BY62" s="14" t="s">
        <v>345</v>
      </c>
      <c r="BZ62" s="14" t="s">
        <v>345</v>
      </c>
      <c r="CA62" s="15" t="s">
        <v>345</v>
      </c>
      <c r="CB62" s="15" t="s">
        <v>346</v>
      </c>
    </row>
    <row r="63" spans="1:80" x14ac:dyDescent="0.3">
      <c r="A63" s="3">
        <v>62</v>
      </c>
      <c r="B63" s="5">
        <v>2</v>
      </c>
      <c r="C63" s="5" t="s">
        <v>114</v>
      </c>
      <c r="D63" s="3" t="s">
        <v>11</v>
      </c>
      <c r="E63" s="5" t="s">
        <v>92</v>
      </c>
      <c r="F63" s="5" t="s">
        <v>93</v>
      </c>
      <c r="G63" s="5" t="s">
        <v>115</v>
      </c>
      <c r="H63" s="5" t="s">
        <v>33</v>
      </c>
      <c r="K63" s="9">
        <v>160900</v>
      </c>
      <c r="L63" s="9">
        <v>160900</v>
      </c>
      <c r="M63" s="9">
        <v>100671.23</v>
      </c>
      <c r="N63" s="9">
        <v>0</v>
      </c>
      <c r="O63" s="9">
        <v>9488.1299999999992</v>
      </c>
      <c r="P63" s="9">
        <v>36107.769999999997</v>
      </c>
      <c r="Q63" s="9">
        <v>14632.87</v>
      </c>
      <c r="R63" s="16">
        <v>0</v>
      </c>
      <c r="S63" s="16">
        <v>0</v>
      </c>
      <c r="T63" s="10">
        <v>431</v>
      </c>
      <c r="U63" s="10">
        <v>17</v>
      </c>
      <c r="V63" s="16">
        <v>0</v>
      </c>
      <c r="W63" s="16">
        <v>0</v>
      </c>
      <c r="X63" s="16">
        <v>0</v>
      </c>
      <c r="Y63" s="32">
        <v>40086</v>
      </c>
      <c r="Z63" s="32">
        <v>40352</v>
      </c>
      <c r="AA63" s="39">
        <v>40393</v>
      </c>
      <c r="AB63" s="32">
        <v>40391</v>
      </c>
      <c r="AC63" s="37">
        <v>40391</v>
      </c>
      <c r="AD63"/>
      <c r="BY63" s="14" t="s">
        <v>340</v>
      </c>
      <c r="BZ63" s="14" t="s">
        <v>341</v>
      </c>
      <c r="CA63" s="15" t="s">
        <v>342</v>
      </c>
      <c r="CB63" s="15" t="s">
        <v>352</v>
      </c>
    </row>
    <row r="64" spans="1:80" x14ac:dyDescent="0.3">
      <c r="A64" s="3">
        <v>63</v>
      </c>
      <c r="B64" s="5">
        <v>2</v>
      </c>
      <c r="C64" s="5" t="s">
        <v>116</v>
      </c>
      <c r="D64" s="3" t="s">
        <v>11</v>
      </c>
      <c r="E64" s="5" t="s">
        <v>92</v>
      </c>
      <c r="F64" s="5" t="s">
        <v>93</v>
      </c>
      <c r="G64" s="5" t="s">
        <v>115</v>
      </c>
      <c r="H64" s="5" t="s">
        <v>34</v>
      </c>
      <c r="K64" s="9">
        <v>894098</v>
      </c>
      <c r="L64" s="9">
        <v>827942.13</v>
      </c>
      <c r="M64" s="9">
        <v>454638.96</v>
      </c>
      <c r="N64" s="9">
        <v>0</v>
      </c>
      <c r="O64" s="9">
        <v>29688.07</v>
      </c>
      <c r="P64" s="9">
        <v>141720.43</v>
      </c>
      <c r="Q64" s="9">
        <v>201894.67</v>
      </c>
      <c r="R64" s="16">
        <v>0</v>
      </c>
      <c r="S64" s="16">
        <v>0</v>
      </c>
      <c r="T64" s="10">
        <v>1449</v>
      </c>
      <c r="U64" s="10">
        <v>57</v>
      </c>
      <c r="V64" s="16">
        <v>0</v>
      </c>
      <c r="W64" s="16">
        <v>0</v>
      </c>
      <c r="X64" s="16">
        <v>0</v>
      </c>
      <c r="Y64" s="32">
        <v>42860</v>
      </c>
      <c r="Z64" s="32">
        <v>43361</v>
      </c>
      <c r="AA64" s="39">
        <v>43426</v>
      </c>
      <c r="AB64" s="32">
        <v>43678</v>
      </c>
      <c r="AC64" s="4"/>
      <c r="AD64"/>
      <c r="BY64" s="14" t="s">
        <v>340</v>
      </c>
      <c r="BZ64" s="14" t="s">
        <v>341</v>
      </c>
      <c r="CA64" s="15" t="s">
        <v>342</v>
      </c>
      <c r="CB64" s="15" t="s">
        <v>352</v>
      </c>
    </row>
    <row r="65" spans="1:80" x14ac:dyDescent="0.3">
      <c r="A65" s="3">
        <v>64</v>
      </c>
      <c r="D65" s="3" t="s">
        <v>11</v>
      </c>
      <c r="E65" s="5" t="s">
        <v>92</v>
      </c>
      <c r="F65" s="5" t="s">
        <v>93</v>
      </c>
      <c r="G65" s="5" t="s">
        <v>115</v>
      </c>
      <c r="H65" s="5" t="s">
        <v>117</v>
      </c>
      <c r="K65" s="17">
        <f>5.48*10000</f>
        <v>54800.000000000007</v>
      </c>
      <c r="L65" s="17">
        <f>K65</f>
        <v>54800.000000000007</v>
      </c>
      <c r="M65" s="17"/>
      <c r="N65" s="17"/>
      <c r="O65" s="17"/>
      <c r="P65" s="17"/>
      <c r="Q65" s="17"/>
      <c r="R65" s="18">
        <v>0</v>
      </c>
      <c r="S65" s="18">
        <f>K65*20/10000</f>
        <v>109.60000000000002</v>
      </c>
      <c r="T65" s="18"/>
      <c r="U65" s="18"/>
      <c r="V65" s="16">
        <v>0</v>
      </c>
      <c r="W65" s="16">
        <v>0</v>
      </c>
      <c r="X65" s="16">
        <v>0</v>
      </c>
      <c r="Y65" s="36"/>
      <c r="Z65" s="32"/>
      <c r="AA65" s="39"/>
      <c r="AB65" s="32"/>
      <c r="AD65" s="32">
        <v>47635</v>
      </c>
      <c r="BY65" s="14" t="s">
        <v>340</v>
      </c>
      <c r="BZ65" s="14" t="s">
        <v>341</v>
      </c>
      <c r="CA65" s="15" t="s">
        <v>342</v>
      </c>
      <c r="CB65" s="15" t="s">
        <v>344</v>
      </c>
    </row>
    <row r="66" spans="1:80" x14ac:dyDescent="0.3">
      <c r="A66" s="3">
        <v>65</v>
      </c>
      <c r="D66" s="3" t="s">
        <v>11</v>
      </c>
      <c r="E66" s="5" t="s">
        <v>92</v>
      </c>
      <c r="F66" s="5" t="s">
        <v>93</v>
      </c>
      <c r="G66" s="5" t="s">
        <v>115</v>
      </c>
      <c r="H66" s="5" t="s">
        <v>118</v>
      </c>
      <c r="K66" s="19">
        <v>130900</v>
      </c>
      <c r="L66" s="19">
        <f>K66</f>
        <v>130900</v>
      </c>
      <c r="M66" s="19"/>
      <c r="N66" s="19"/>
      <c r="O66" s="19"/>
      <c r="P66" s="19"/>
      <c r="Q66" s="19"/>
      <c r="R66" s="20">
        <v>0</v>
      </c>
      <c r="S66" s="20">
        <f>K66*20/10000</f>
        <v>261.8</v>
      </c>
      <c r="T66" s="20"/>
      <c r="U66" s="20"/>
      <c r="V66" s="16">
        <v>0</v>
      </c>
      <c r="W66" s="16">
        <v>0</v>
      </c>
      <c r="X66" s="16">
        <v>0</v>
      </c>
      <c r="Y66" s="4"/>
      <c r="AD66" s="32">
        <v>47635</v>
      </c>
      <c r="BY66" s="14" t="s">
        <v>340</v>
      </c>
      <c r="BZ66" s="14" t="s">
        <v>341</v>
      </c>
      <c r="CA66" s="15" t="s">
        <v>342</v>
      </c>
      <c r="CB66" s="15" t="s">
        <v>344</v>
      </c>
    </row>
    <row r="67" spans="1:80" x14ac:dyDescent="0.3">
      <c r="A67" s="3">
        <v>66</v>
      </c>
      <c r="B67" s="5">
        <v>83</v>
      </c>
      <c r="C67" s="5" t="s">
        <v>119</v>
      </c>
      <c r="D67" s="3" t="s">
        <v>11</v>
      </c>
      <c r="E67" s="5" t="s">
        <v>92</v>
      </c>
      <c r="F67" s="5" t="s">
        <v>93</v>
      </c>
      <c r="G67" s="5" t="s">
        <v>120</v>
      </c>
      <c r="H67" s="5" t="s">
        <v>121</v>
      </c>
      <c r="K67" s="12">
        <v>441073.84</v>
      </c>
      <c r="L67" s="12">
        <v>441073.84</v>
      </c>
      <c r="M67" s="12"/>
      <c r="N67" s="12"/>
      <c r="O67" s="12"/>
      <c r="P67" s="12"/>
      <c r="Q67" s="12"/>
      <c r="R67" s="13">
        <v>0</v>
      </c>
      <c r="S67" s="13">
        <v>0</v>
      </c>
      <c r="T67" s="13">
        <v>722</v>
      </c>
      <c r="U67" s="13"/>
      <c r="V67" s="13">
        <v>0</v>
      </c>
      <c r="W67" s="13">
        <v>0</v>
      </c>
      <c r="X67" s="13">
        <v>0</v>
      </c>
      <c r="Y67" s="32">
        <v>43182</v>
      </c>
      <c r="Z67" s="32">
        <v>43182</v>
      </c>
      <c r="AA67" s="39">
        <v>43182</v>
      </c>
      <c r="AB67" s="32">
        <v>43739</v>
      </c>
      <c r="AD67"/>
      <c r="BY67" s="14" t="s">
        <v>340</v>
      </c>
      <c r="BZ67" s="14" t="s">
        <v>341</v>
      </c>
      <c r="CA67" s="15" t="s">
        <v>342</v>
      </c>
      <c r="CB67" s="15" t="s">
        <v>352</v>
      </c>
    </row>
    <row r="68" spans="1:80" x14ac:dyDescent="0.3">
      <c r="A68" s="3">
        <v>67</v>
      </c>
      <c r="B68" s="5">
        <v>34</v>
      </c>
      <c r="C68" s="5" t="s">
        <v>122</v>
      </c>
      <c r="D68" s="3" t="s">
        <v>11</v>
      </c>
      <c r="E68" s="5" t="s">
        <v>92</v>
      </c>
      <c r="F68" s="5" t="s">
        <v>93</v>
      </c>
      <c r="G68" s="5" t="s">
        <v>120</v>
      </c>
      <c r="H68" s="5" t="s">
        <v>33</v>
      </c>
      <c r="K68" s="9">
        <v>627838.39</v>
      </c>
      <c r="L68" s="9">
        <v>627838.39</v>
      </c>
      <c r="M68" s="9">
        <v>405907.9</v>
      </c>
      <c r="N68" s="9">
        <v>0</v>
      </c>
      <c r="O68" s="9">
        <v>69009.960000000006</v>
      </c>
      <c r="P68" s="9">
        <v>126015.56</v>
      </c>
      <c r="Q68" s="9">
        <v>26904.97</v>
      </c>
      <c r="R68" s="16">
        <v>0</v>
      </c>
      <c r="S68" s="16">
        <v>0</v>
      </c>
      <c r="T68" s="10">
        <v>1127</v>
      </c>
      <c r="U68" s="10">
        <v>42</v>
      </c>
      <c r="V68" s="10">
        <v>0</v>
      </c>
      <c r="W68" s="10">
        <v>0</v>
      </c>
      <c r="X68" s="16">
        <v>0</v>
      </c>
      <c r="Y68" s="32">
        <v>41114</v>
      </c>
      <c r="Z68" s="32">
        <v>41263</v>
      </c>
      <c r="AA68" s="39">
        <v>41415</v>
      </c>
      <c r="AB68" s="32">
        <v>41395</v>
      </c>
      <c r="AC68" s="32">
        <v>42417</v>
      </c>
      <c r="AD68"/>
      <c r="BY68" s="14" t="s">
        <v>340</v>
      </c>
      <c r="BZ68" s="14" t="s">
        <v>341</v>
      </c>
      <c r="CA68" s="15" t="s">
        <v>342</v>
      </c>
      <c r="CB68" s="15" t="s">
        <v>352</v>
      </c>
    </row>
    <row r="69" spans="1:80" x14ac:dyDescent="0.3">
      <c r="A69" s="3">
        <v>68</v>
      </c>
      <c r="B69" s="5">
        <v>58</v>
      </c>
      <c r="C69" s="5" t="s">
        <v>123</v>
      </c>
      <c r="D69" s="3" t="s">
        <v>11</v>
      </c>
      <c r="E69" s="5" t="s">
        <v>92</v>
      </c>
      <c r="F69" s="5" t="s">
        <v>93</v>
      </c>
      <c r="G69" s="5" t="s">
        <v>120</v>
      </c>
      <c r="H69" s="5" t="s">
        <v>53</v>
      </c>
      <c r="K69" s="9">
        <v>483683.21</v>
      </c>
      <c r="L69" s="9">
        <v>446351.34</v>
      </c>
      <c r="M69" s="17">
        <v>267027.87</v>
      </c>
      <c r="N69" s="9">
        <v>0</v>
      </c>
      <c r="O69" s="9">
        <v>24029.86</v>
      </c>
      <c r="P69" s="9">
        <v>125366.65</v>
      </c>
      <c r="Q69" s="9">
        <v>29926.959999999999</v>
      </c>
      <c r="R69" s="16">
        <v>0</v>
      </c>
      <c r="S69" s="16">
        <v>0</v>
      </c>
      <c r="T69" s="18">
        <v>1066</v>
      </c>
      <c r="U69" s="18">
        <v>34</v>
      </c>
      <c r="V69" s="10">
        <v>0</v>
      </c>
      <c r="W69" s="10">
        <v>0</v>
      </c>
      <c r="X69" s="16">
        <v>0</v>
      </c>
      <c r="Y69" s="32">
        <v>42733</v>
      </c>
      <c r="Z69" s="32">
        <v>42670</v>
      </c>
      <c r="AA69" s="39">
        <v>42800</v>
      </c>
      <c r="AB69" s="32">
        <v>42917</v>
      </c>
      <c r="AC69" s="4"/>
      <c r="AD69"/>
      <c r="BY69" s="14" t="s">
        <v>345</v>
      </c>
      <c r="BZ69" s="14" t="s">
        <v>345</v>
      </c>
      <c r="CA69" s="15" t="s">
        <v>342</v>
      </c>
      <c r="CB69" s="15" t="s">
        <v>352</v>
      </c>
    </row>
    <row r="70" spans="1:80" x14ac:dyDescent="0.3">
      <c r="A70" s="3">
        <v>69</v>
      </c>
      <c r="B70" s="5">
        <v>2</v>
      </c>
      <c r="C70" s="5" t="s">
        <v>124</v>
      </c>
      <c r="D70" s="3" t="s">
        <v>11</v>
      </c>
      <c r="E70" s="5" t="s">
        <v>92</v>
      </c>
      <c r="F70" s="5" t="s">
        <v>93</v>
      </c>
      <c r="G70" s="5" t="s">
        <v>125</v>
      </c>
      <c r="H70" s="5" t="s">
        <v>98</v>
      </c>
      <c r="K70" s="21">
        <v>444460</v>
      </c>
      <c r="L70" s="21">
        <v>297250.08</v>
      </c>
      <c r="M70" s="21">
        <v>183239.1</v>
      </c>
      <c r="N70" s="21">
        <v>0</v>
      </c>
      <c r="O70" s="21">
        <v>12050</v>
      </c>
      <c r="P70" s="21">
        <v>87415.21</v>
      </c>
      <c r="Q70" s="21">
        <v>14545.77</v>
      </c>
      <c r="R70" s="22">
        <v>0</v>
      </c>
      <c r="S70" s="22">
        <v>0</v>
      </c>
      <c r="T70" s="22">
        <v>1243</v>
      </c>
      <c r="U70" s="22">
        <v>42</v>
      </c>
      <c r="V70" s="22">
        <v>713</v>
      </c>
      <c r="W70" s="22">
        <v>27</v>
      </c>
      <c r="X70" s="22">
        <v>0</v>
      </c>
      <c r="Y70" s="32">
        <v>40641</v>
      </c>
      <c r="Z70" s="4"/>
      <c r="AA70" s="39">
        <v>40782</v>
      </c>
      <c r="AB70" s="36">
        <v>40725</v>
      </c>
      <c r="AC70" s="4"/>
      <c r="AD70"/>
      <c r="BY70" s="14" t="s">
        <v>340</v>
      </c>
      <c r="BZ70" s="14" t="s">
        <v>341</v>
      </c>
      <c r="CA70" s="15" t="s">
        <v>342</v>
      </c>
      <c r="CB70" s="15" t="s">
        <v>354</v>
      </c>
    </row>
    <row r="71" spans="1:80" x14ac:dyDescent="0.3">
      <c r="A71" s="3">
        <v>70</v>
      </c>
      <c r="B71" s="5">
        <v>11</v>
      </c>
      <c r="C71" s="5" t="s">
        <v>126</v>
      </c>
      <c r="D71" s="3" t="s">
        <v>11</v>
      </c>
      <c r="E71" s="5" t="s">
        <v>127</v>
      </c>
      <c r="F71" s="5" t="s">
        <v>128</v>
      </c>
      <c r="G71" s="5" t="s">
        <v>129</v>
      </c>
      <c r="H71" s="5" t="s">
        <v>130</v>
      </c>
      <c r="K71" s="9">
        <v>382652</v>
      </c>
      <c r="L71" s="9">
        <v>382652</v>
      </c>
      <c r="M71" s="9">
        <v>225666.5</v>
      </c>
      <c r="N71" s="9">
        <v>0</v>
      </c>
      <c r="O71" s="9">
        <v>27209.119999999999</v>
      </c>
      <c r="P71" s="9">
        <v>89401.67</v>
      </c>
      <c r="Q71" s="9">
        <v>40374.710000000006</v>
      </c>
      <c r="R71" s="16">
        <v>0</v>
      </c>
      <c r="S71" s="16">
        <v>0</v>
      </c>
      <c r="T71" s="10">
        <v>734</v>
      </c>
      <c r="U71" s="10">
        <v>35</v>
      </c>
      <c r="V71" s="10">
        <v>0</v>
      </c>
      <c r="W71" s="10">
        <v>0</v>
      </c>
      <c r="X71" s="16">
        <v>0</v>
      </c>
      <c r="Y71" s="32">
        <v>40088</v>
      </c>
      <c r="Z71" s="32">
        <v>40316</v>
      </c>
      <c r="AA71" s="39">
        <v>40344</v>
      </c>
      <c r="AB71" s="32">
        <v>40330</v>
      </c>
      <c r="AC71" s="37">
        <v>40330</v>
      </c>
      <c r="AD71"/>
      <c r="BY71" s="14" t="s">
        <v>345</v>
      </c>
      <c r="BZ71" s="14" t="s">
        <v>345</v>
      </c>
      <c r="CA71" s="15" t="s">
        <v>345</v>
      </c>
      <c r="CB71" s="15" t="s">
        <v>346</v>
      </c>
    </row>
    <row r="72" spans="1:80" x14ac:dyDescent="0.3">
      <c r="A72" s="3">
        <v>71</v>
      </c>
      <c r="B72" s="5">
        <v>23</v>
      </c>
      <c r="C72" s="5" t="s">
        <v>131</v>
      </c>
      <c r="D72" s="3" t="s">
        <v>11</v>
      </c>
      <c r="E72" s="5" t="s">
        <v>132</v>
      </c>
      <c r="F72" s="5" t="s">
        <v>133</v>
      </c>
      <c r="G72" s="5" t="s">
        <v>134</v>
      </c>
      <c r="H72" s="5" t="s">
        <v>57</v>
      </c>
      <c r="K72" s="9">
        <v>259925</v>
      </c>
      <c r="L72" s="9">
        <f>K72-1500.98</f>
        <v>258424.02</v>
      </c>
      <c r="M72" s="9">
        <v>129548.99</v>
      </c>
      <c r="N72" s="17">
        <v>16967.060000000001</v>
      </c>
      <c r="O72" s="9">
        <v>23496.92</v>
      </c>
      <c r="P72" s="9">
        <v>64913.23</v>
      </c>
      <c r="Q72" s="9">
        <v>23497.82</v>
      </c>
      <c r="R72" s="16">
        <v>0</v>
      </c>
      <c r="S72" s="16">
        <v>0</v>
      </c>
      <c r="T72" s="10">
        <v>418</v>
      </c>
      <c r="U72" s="10">
        <v>18</v>
      </c>
      <c r="V72" s="10">
        <v>0</v>
      </c>
      <c r="W72" s="10">
        <v>0</v>
      </c>
      <c r="X72" s="16">
        <v>0</v>
      </c>
      <c r="Y72" s="32">
        <v>39303</v>
      </c>
      <c r="Z72" s="32">
        <v>39596</v>
      </c>
      <c r="AA72" s="32">
        <v>39707</v>
      </c>
      <c r="AB72" s="32">
        <v>39753</v>
      </c>
      <c r="AC72" s="37">
        <v>39753</v>
      </c>
      <c r="AE72" s="30"/>
      <c r="AF72" s="30"/>
      <c r="AG72" s="30"/>
      <c r="AI72" s="46"/>
      <c r="AJ72" s="46"/>
      <c r="AN72" s="30"/>
      <c r="AO72" s="53">
        <v>0</v>
      </c>
      <c r="AP72" s="54">
        <v>0</v>
      </c>
      <c r="AQ72" s="3" t="s">
        <v>312</v>
      </c>
      <c r="AR72" s="3"/>
      <c r="AS72" s="3"/>
      <c r="AT72" s="30">
        <v>0</v>
      </c>
      <c r="AU72" s="30">
        <v>0</v>
      </c>
      <c r="AV72" s="30">
        <v>0</v>
      </c>
      <c r="AW72" s="30"/>
      <c r="AX72" s="30"/>
      <c r="AY72" s="30"/>
      <c r="AZ72" s="30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X72" s="46"/>
      <c r="BY72" s="14" t="s">
        <v>345</v>
      </c>
      <c r="BZ72" s="14" t="s">
        <v>345</v>
      </c>
      <c r="CA72" s="15" t="s">
        <v>345</v>
      </c>
      <c r="CB72" s="15" t="s">
        <v>346</v>
      </c>
    </row>
    <row r="73" spans="1:80" x14ac:dyDescent="0.3">
      <c r="A73" s="3">
        <v>72</v>
      </c>
      <c r="B73" s="5">
        <v>23</v>
      </c>
      <c r="C73" s="5" t="s">
        <v>135</v>
      </c>
      <c r="D73" s="3" t="s">
        <v>11</v>
      </c>
      <c r="E73" s="5" t="s">
        <v>132</v>
      </c>
      <c r="F73" s="5" t="s">
        <v>133</v>
      </c>
      <c r="G73" s="5" t="s">
        <v>134</v>
      </c>
      <c r="H73" s="5" t="s">
        <v>136</v>
      </c>
      <c r="K73" s="9">
        <v>123416</v>
      </c>
      <c r="L73" s="9">
        <f>K73-705</f>
        <v>122711</v>
      </c>
      <c r="M73" s="9">
        <v>67624.33</v>
      </c>
      <c r="N73" s="9">
        <v>0</v>
      </c>
      <c r="O73" s="9">
        <v>7529.65</v>
      </c>
      <c r="P73" s="9">
        <v>47557.02</v>
      </c>
      <c r="Q73" s="9">
        <v>0</v>
      </c>
      <c r="R73" s="16">
        <v>0</v>
      </c>
      <c r="S73" s="16">
        <v>0</v>
      </c>
      <c r="T73" s="10">
        <v>215</v>
      </c>
      <c r="U73" s="10">
        <v>10</v>
      </c>
      <c r="V73" s="10">
        <v>0</v>
      </c>
      <c r="W73" s="10">
        <v>0</v>
      </c>
      <c r="X73" s="16">
        <v>0</v>
      </c>
      <c r="Y73" s="32">
        <v>39981</v>
      </c>
      <c r="Z73" s="32">
        <v>40242</v>
      </c>
      <c r="AA73" s="32">
        <v>40329</v>
      </c>
      <c r="AB73" s="32">
        <v>40330</v>
      </c>
      <c r="AC73" s="37">
        <v>40330</v>
      </c>
      <c r="AE73" s="30"/>
      <c r="AF73" s="30"/>
      <c r="AG73" s="30"/>
      <c r="AI73" s="46"/>
      <c r="AJ73" s="46"/>
      <c r="AN73" s="30"/>
      <c r="AO73" s="53">
        <v>0</v>
      </c>
      <c r="AP73" s="54">
        <v>0</v>
      </c>
      <c r="AQ73" s="3" t="s">
        <v>312</v>
      </c>
      <c r="AR73" s="3"/>
      <c r="AS73" s="3"/>
      <c r="AT73" s="30">
        <v>0</v>
      </c>
      <c r="AU73" s="30">
        <v>0</v>
      </c>
      <c r="AV73" s="30">
        <v>0</v>
      </c>
      <c r="AW73" s="30"/>
      <c r="AX73" s="30"/>
      <c r="AY73" s="30"/>
      <c r="AZ73" s="30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X73" s="46"/>
      <c r="BY73" s="14" t="s">
        <v>345</v>
      </c>
      <c r="BZ73" s="14" t="s">
        <v>345</v>
      </c>
      <c r="CA73" s="15" t="s">
        <v>345</v>
      </c>
      <c r="CB73" s="15" t="s">
        <v>346</v>
      </c>
    </row>
    <row r="74" spans="1:80" x14ac:dyDescent="0.3">
      <c r="A74" s="3">
        <v>73</v>
      </c>
      <c r="B74" s="5">
        <v>120</v>
      </c>
      <c r="C74" s="5" t="s">
        <v>137</v>
      </c>
      <c r="D74" s="3" t="s">
        <v>11</v>
      </c>
      <c r="E74" s="5" t="s">
        <v>132</v>
      </c>
      <c r="F74" s="5" t="s">
        <v>133</v>
      </c>
      <c r="G74" s="5" t="s">
        <v>134</v>
      </c>
      <c r="H74" s="5" t="s">
        <v>33</v>
      </c>
      <c r="I74" s="6">
        <v>-18.779126000000002</v>
      </c>
      <c r="J74" s="6">
        <v>-52.593981999999997</v>
      </c>
      <c r="K74" s="9">
        <v>484938</v>
      </c>
      <c r="L74" s="9">
        <v>484938</v>
      </c>
      <c r="M74" s="9">
        <v>252842.78</v>
      </c>
      <c r="N74" s="9">
        <v>0</v>
      </c>
      <c r="O74" s="9">
        <v>72923.23</v>
      </c>
      <c r="P74" s="9">
        <v>134614.22</v>
      </c>
      <c r="Q74" s="9">
        <v>24557.78</v>
      </c>
      <c r="R74" s="16">
        <v>0</v>
      </c>
      <c r="S74" s="16">
        <v>0</v>
      </c>
      <c r="T74" s="10">
        <v>853</v>
      </c>
      <c r="U74" s="10">
        <v>40</v>
      </c>
      <c r="V74" s="10">
        <v>0</v>
      </c>
      <c r="W74" s="10">
        <v>0</v>
      </c>
      <c r="X74" s="16">
        <v>0</v>
      </c>
      <c r="Y74" s="32">
        <v>45344</v>
      </c>
      <c r="Z74" s="32">
        <v>45447</v>
      </c>
      <c r="AA74" s="32">
        <v>45586</v>
      </c>
      <c r="AB74" s="32">
        <v>45742</v>
      </c>
      <c r="AE74" s="30">
        <v>8385.75</v>
      </c>
      <c r="AF74" s="30">
        <v>88736.56</v>
      </c>
      <c r="AG74" s="30">
        <v>5609.65</v>
      </c>
      <c r="AH74">
        <v>2405.98</v>
      </c>
      <c r="AI74" s="46">
        <v>87</v>
      </c>
      <c r="AJ74" s="46">
        <v>179</v>
      </c>
      <c r="AN74" s="30">
        <v>14371.6</v>
      </c>
      <c r="AO74" s="53">
        <v>0</v>
      </c>
      <c r="AP74" s="54">
        <v>0</v>
      </c>
      <c r="AQ74" s="3" t="s">
        <v>312</v>
      </c>
      <c r="AR74" s="3"/>
      <c r="AS74" s="3"/>
      <c r="AT74" s="30">
        <v>0</v>
      </c>
      <c r="AU74" s="30">
        <v>0</v>
      </c>
      <c r="AV74" s="30">
        <v>0</v>
      </c>
      <c r="AW74" s="30"/>
      <c r="AX74" s="30"/>
      <c r="AY74" s="30"/>
      <c r="AZ74" s="30">
        <v>15333.15</v>
      </c>
      <c r="BA74" s="46">
        <v>281</v>
      </c>
      <c r="BB74" s="46"/>
      <c r="BC74" s="46"/>
      <c r="BD74" s="46"/>
      <c r="BE74" s="46"/>
      <c r="BF74" s="46"/>
      <c r="BG74" s="46"/>
      <c r="BH74" s="46"/>
      <c r="BI74" s="46"/>
      <c r="BJ74" s="46"/>
      <c r="BK74" s="46">
        <v>281</v>
      </c>
      <c r="BL74" s="46">
        <v>281</v>
      </c>
      <c r="BM74" s="46">
        <v>281</v>
      </c>
      <c r="BN74" s="46">
        <v>281</v>
      </c>
      <c r="BX74" s="46"/>
      <c r="BY74" s="14" t="s">
        <v>340</v>
      </c>
      <c r="BZ74" s="14" t="s">
        <v>341</v>
      </c>
      <c r="CA74" s="15" t="s">
        <v>351</v>
      </c>
      <c r="CB74" s="15" t="s">
        <v>348</v>
      </c>
    </row>
    <row r="75" spans="1:80" x14ac:dyDescent="0.3">
      <c r="A75" s="3">
        <v>74</v>
      </c>
      <c r="B75" s="5">
        <v>135</v>
      </c>
      <c r="C75" s="5" t="s">
        <v>138</v>
      </c>
      <c r="D75" s="3" t="s">
        <v>11</v>
      </c>
      <c r="E75" s="5" t="s">
        <v>132</v>
      </c>
      <c r="F75" s="5" t="s">
        <v>133</v>
      </c>
      <c r="G75" s="5" t="s">
        <v>134</v>
      </c>
      <c r="H75" s="5" t="s">
        <v>34</v>
      </c>
      <c r="I75">
        <v>-18.780025999999999</v>
      </c>
      <c r="J75">
        <v>-52.590166000000004</v>
      </c>
      <c r="K75" s="9">
        <v>454896</v>
      </c>
      <c r="L75" s="9">
        <v>454896</v>
      </c>
      <c r="M75" s="9">
        <v>246335.56</v>
      </c>
      <c r="N75" s="9">
        <v>0</v>
      </c>
      <c r="O75" s="9">
        <v>69046.95</v>
      </c>
      <c r="P75" s="9">
        <v>111182.81</v>
      </c>
      <c r="Q75" s="9">
        <f>25209.19+3121.49</f>
        <v>28330.68</v>
      </c>
      <c r="R75" s="10">
        <v>0</v>
      </c>
      <c r="S75" s="10">
        <v>0</v>
      </c>
      <c r="T75" s="10">
        <v>900</v>
      </c>
      <c r="U75" s="10">
        <v>32</v>
      </c>
      <c r="V75" s="10">
        <v>0</v>
      </c>
      <c r="W75" s="10">
        <v>0</v>
      </c>
      <c r="X75" s="16">
        <v>0</v>
      </c>
      <c r="Y75" s="32">
        <v>44609</v>
      </c>
      <c r="Z75" s="32">
        <v>45546</v>
      </c>
      <c r="AA75" s="32">
        <v>45621</v>
      </c>
      <c r="AC75" s="32"/>
      <c r="AD75" s="32">
        <v>46539</v>
      </c>
      <c r="AE75" s="30"/>
      <c r="AF75" s="30"/>
      <c r="AG75" s="30"/>
      <c r="AI75" s="46"/>
      <c r="AJ75" s="46"/>
      <c r="AN75" s="30"/>
      <c r="AO75" s="53">
        <v>0</v>
      </c>
      <c r="AP75" s="54">
        <v>0</v>
      </c>
      <c r="AQ75" s="3" t="s">
        <v>312</v>
      </c>
      <c r="AR75" s="3"/>
      <c r="AS75" s="3"/>
      <c r="AT75" s="30">
        <v>0</v>
      </c>
      <c r="AU75" s="30">
        <v>0</v>
      </c>
      <c r="AV75" s="30">
        <v>0</v>
      </c>
      <c r="AW75" s="30"/>
      <c r="AX75" s="30"/>
      <c r="AY75" s="30"/>
      <c r="AZ75" s="30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X75" s="46"/>
      <c r="BY75" s="14" t="s">
        <v>340</v>
      </c>
      <c r="BZ75" s="14" t="s">
        <v>341</v>
      </c>
      <c r="CA75" s="15" t="s">
        <v>351</v>
      </c>
      <c r="CB75" s="15" t="s">
        <v>349</v>
      </c>
    </row>
    <row r="76" spans="1:80" x14ac:dyDescent="0.3">
      <c r="A76" s="3">
        <v>75</v>
      </c>
      <c r="B76" s="5">
        <v>129</v>
      </c>
      <c r="C76" s="5" t="s">
        <v>139</v>
      </c>
      <c r="D76" s="3" t="s">
        <v>11</v>
      </c>
      <c r="E76" s="5" t="s">
        <v>132</v>
      </c>
      <c r="F76" s="5" t="s">
        <v>133</v>
      </c>
      <c r="G76" s="5" t="s">
        <v>134</v>
      </c>
      <c r="H76" s="5" t="s">
        <v>140</v>
      </c>
      <c r="I76">
        <v>-18.790707999999999</v>
      </c>
      <c r="J76">
        <v>-52.600478000000003</v>
      </c>
      <c r="K76" s="9">
        <v>161212</v>
      </c>
      <c r="L76" s="9">
        <v>161212</v>
      </c>
      <c r="M76" s="9">
        <v>112033.92</v>
      </c>
      <c r="N76" s="9">
        <v>0</v>
      </c>
      <c r="O76" s="9">
        <v>0</v>
      </c>
      <c r="P76" s="9">
        <v>46967.87</v>
      </c>
      <c r="Q76" s="9">
        <v>2480.21</v>
      </c>
      <c r="R76" s="10">
        <v>0</v>
      </c>
      <c r="S76" s="10">
        <v>0</v>
      </c>
      <c r="T76" s="10">
        <v>197</v>
      </c>
      <c r="U76" s="10">
        <v>10</v>
      </c>
      <c r="V76" s="10">
        <v>0</v>
      </c>
      <c r="W76" s="10">
        <v>0</v>
      </c>
      <c r="X76" s="16">
        <v>0</v>
      </c>
      <c r="Y76" s="37">
        <v>44056</v>
      </c>
      <c r="Z76" s="32">
        <v>44915</v>
      </c>
      <c r="AA76" s="32">
        <v>45096</v>
      </c>
      <c r="AB76" s="32">
        <v>45139</v>
      </c>
      <c r="AC76" s="32">
        <v>45618</v>
      </c>
      <c r="AD76" s="32"/>
      <c r="AE76" s="30">
        <v>2672.05</v>
      </c>
      <c r="AF76" s="30">
        <v>34373.21</v>
      </c>
      <c r="AG76" s="30">
        <v>1596.06</v>
      </c>
      <c r="AH76">
        <v>691.67</v>
      </c>
      <c r="AI76" s="46">
        <v>25</v>
      </c>
      <c r="AJ76" s="46">
        <v>59</v>
      </c>
      <c r="AN76" s="30">
        <v>4367</v>
      </c>
      <c r="AO76" s="53">
        <v>0</v>
      </c>
      <c r="AP76" s="54">
        <v>0</v>
      </c>
      <c r="AQ76" s="3" t="s">
        <v>312</v>
      </c>
      <c r="AR76" s="3"/>
      <c r="AS76" s="3"/>
      <c r="AT76" s="30">
        <v>0</v>
      </c>
      <c r="AU76" s="30">
        <v>0</v>
      </c>
      <c r="AV76" s="30">
        <v>0</v>
      </c>
      <c r="AW76" s="30"/>
      <c r="AX76" s="30"/>
      <c r="AY76" s="30"/>
      <c r="AZ76" s="30">
        <v>3663.84</v>
      </c>
      <c r="BA76" s="46">
        <v>58</v>
      </c>
      <c r="BB76" s="46"/>
      <c r="BC76" s="46"/>
      <c r="BD76" s="46"/>
      <c r="BE76" s="46"/>
      <c r="BF76" s="46"/>
      <c r="BG76" s="46"/>
      <c r="BH76" s="46"/>
      <c r="BI76" s="46"/>
      <c r="BJ76" s="46"/>
      <c r="BK76" s="46">
        <v>58</v>
      </c>
      <c r="BL76" s="46">
        <v>58</v>
      </c>
      <c r="BM76" s="46">
        <v>58</v>
      </c>
      <c r="BN76" s="46">
        <v>58</v>
      </c>
      <c r="BQ76" s="3">
        <v>97</v>
      </c>
      <c r="BR76" s="3">
        <v>13</v>
      </c>
      <c r="BX76" s="46">
        <v>116</v>
      </c>
      <c r="BY76" s="14" t="s">
        <v>340</v>
      </c>
      <c r="BZ76" s="14" t="s">
        <v>341</v>
      </c>
      <c r="CA76" s="15" t="s">
        <v>351</v>
      </c>
      <c r="CB76" s="15" t="s">
        <v>346</v>
      </c>
    </row>
    <row r="77" spans="1:80" x14ac:dyDescent="0.3">
      <c r="A77" s="3">
        <v>76</v>
      </c>
      <c r="B77" s="5">
        <v>129</v>
      </c>
      <c r="C77" s="5" t="s">
        <v>141</v>
      </c>
      <c r="D77" s="3" t="s">
        <v>11</v>
      </c>
      <c r="E77" s="5" t="s">
        <v>132</v>
      </c>
      <c r="F77" s="5" t="s">
        <v>133</v>
      </c>
      <c r="G77" s="5" t="s">
        <v>134</v>
      </c>
      <c r="H77" s="5" t="s">
        <v>45</v>
      </c>
      <c r="I77">
        <v>-18.787766000000001</v>
      </c>
      <c r="J77">
        <v>-52.601675999999998</v>
      </c>
      <c r="K77" s="9">
        <v>439729</v>
      </c>
      <c r="L77" s="9">
        <v>439729</v>
      </c>
      <c r="M77" s="9">
        <v>205876.53</v>
      </c>
      <c r="N77" s="9">
        <v>0</v>
      </c>
      <c r="O77" s="9">
        <v>65993.37</v>
      </c>
      <c r="P77" s="9">
        <v>145871.78</v>
      </c>
      <c r="Q77" s="9">
        <v>21987.32</v>
      </c>
      <c r="R77" s="10">
        <v>0</v>
      </c>
      <c r="S77" s="10">
        <v>0</v>
      </c>
      <c r="T77" s="10">
        <v>674</v>
      </c>
      <c r="U77" s="10">
        <v>38</v>
      </c>
      <c r="V77" s="10">
        <v>0</v>
      </c>
      <c r="W77" s="10">
        <v>0</v>
      </c>
      <c r="X77" s="16">
        <v>0</v>
      </c>
      <c r="Y77" s="37">
        <v>44056</v>
      </c>
      <c r="Z77" s="32">
        <v>44915</v>
      </c>
      <c r="AA77" s="32">
        <v>45096</v>
      </c>
      <c r="AB77" s="32">
        <v>45139</v>
      </c>
      <c r="AE77" s="30">
        <v>8947.42</v>
      </c>
      <c r="AF77" s="30">
        <v>100152.04</v>
      </c>
      <c r="AG77" s="30">
        <v>5355.5499999999993</v>
      </c>
      <c r="AH77">
        <v>1392.14</v>
      </c>
      <c r="AI77" s="46">
        <v>74</v>
      </c>
      <c r="AJ77" s="46">
        <v>135</v>
      </c>
      <c r="AN77" s="30">
        <v>12332</v>
      </c>
      <c r="AO77" s="53">
        <v>0</v>
      </c>
      <c r="AP77" s="54">
        <v>0</v>
      </c>
      <c r="AQ77" s="3" t="s">
        <v>312</v>
      </c>
      <c r="AR77" s="3"/>
      <c r="AS77" s="3"/>
      <c r="AT77" s="30">
        <v>0</v>
      </c>
      <c r="AU77" s="30">
        <v>0</v>
      </c>
      <c r="AV77" s="30">
        <v>0</v>
      </c>
      <c r="AW77" s="30"/>
      <c r="AX77" s="30"/>
      <c r="AY77" s="30"/>
      <c r="AZ77" s="30">
        <v>14863.08</v>
      </c>
      <c r="BA77" s="46">
        <v>243</v>
      </c>
      <c r="BB77" s="46"/>
      <c r="BC77" s="46"/>
      <c r="BD77" s="46"/>
      <c r="BE77" s="46"/>
      <c r="BF77" s="46"/>
      <c r="BG77" s="46"/>
      <c r="BH77" s="46"/>
      <c r="BI77" s="46"/>
      <c r="BJ77" s="46"/>
      <c r="BK77" s="46">
        <v>243</v>
      </c>
      <c r="BL77" s="46">
        <v>243</v>
      </c>
      <c r="BM77" s="46">
        <v>243</v>
      </c>
      <c r="BN77" s="46">
        <v>243</v>
      </c>
      <c r="BQ77" s="3">
        <v>254</v>
      </c>
      <c r="BR77" s="3">
        <v>36</v>
      </c>
      <c r="BX77" s="46">
        <v>569</v>
      </c>
      <c r="BY77" s="14" t="s">
        <v>340</v>
      </c>
      <c r="BZ77" s="14" t="s">
        <v>341</v>
      </c>
      <c r="CA77" s="15" t="s">
        <v>351</v>
      </c>
      <c r="CB77" s="15" t="s">
        <v>348</v>
      </c>
    </row>
    <row r="78" spans="1:80" x14ac:dyDescent="0.3">
      <c r="A78" s="3">
        <v>77</v>
      </c>
      <c r="B78" s="7">
        <v>12</v>
      </c>
      <c r="C78" s="7" t="s">
        <v>142</v>
      </c>
      <c r="D78" s="3" t="s">
        <v>11</v>
      </c>
      <c r="E78" s="5" t="s">
        <v>132</v>
      </c>
      <c r="F78" s="5" t="s">
        <v>133</v>
      </c>
      <c r="G78" s="5" t="s">
        <v>134</v>
      </c>
      <c r="H78" s="5" t="s">
        <v>53</v>
      </c>
      <c r="K78" s="9">
        <v>200597.66</v>
      </c>
      <c r="L78" s="9">
        <v>200597.66</v>
      </c>
      <c r="M78" s="9">
        <v>125708.43799999999</v>
      </c>
      <c r="N78" s="9">
        <v>0</v>
      </c>
      <c r="O78" s="9">
        <v>1239.75</v>
      </c>
      <c r="P78" s="9">
        <v>73649.471999999994</v>
      </c>
      <c r="Q78" s="9">
        <v>0</v>
      </c>
      <c r="R78" s="10">
        <v>0</v>
      </c>
      <c r="S78" s="10">
        <v>0</v>
      </c>
      <c r="T78" s="10">
        <v>373</v>
      </c>
      <c r="U78" s="10">
        <v>19</v>
      </c>
      <c r="V78" s="10">
        <v>0</v>
      </c>
      <c r="W78" s="10">
        <v>0</v>
      </c>
      <c r="X78" s="16">
        <v>0</v>
      </c>
      <c r="Y78" s="32">
        <v>40345</v>
      </c>
      <c r="Z78" s="32">
        <v>40716</v>
      </c>
      <c r="AA78" s="32">
        <v>40854</v>
      </c>
      <c r="AB78" s="32">
        <v>41030</v>
      </c>
      <c r="AC78" s="37">
        <v>41030</v>
      </c>
      <c r="AE78" s="30"/>
      <c r="AF78" s="30"/>
      <c r="AG78" s="30"/>
      <c r="AI78" s="46"/>
      <c r="AJ78" s="46"/>
      <c r="AN78" s="30"/>
      <c r="AO78" s="53">
        <v>0</v>
      </c>
      <c r="AP78" s="54">
        <v>0</v>
      </c>
      <c r="AQ78" s="3" t="s">
        <v>312</v>
      </c>
      <c r="AR78" s="3"/>
      <c r="AS78" s="3"/>
      <c r="AT78" s="30">
        <v>0</v>
      </c>
      <c r="AU78" s="30">
        <v>0</v>
      </c>
      <c r="AV78" s="30">
        <v>0</v>
      </c>
      <c r="AW78" s="30"/>
      <c r="AX78" s="30"/>
      <c r="AY78" s="30"/>
      <c r="AZ78" s="30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X78" s="46"/>
      <c r="BY78" s="14" t="s">
        <v>345</v>
      </c>
      <c r="BZ78" s="14" t="s">
        <v>345</v>
      </c>
      <c r="CA78" s="15" t="s">
        <v>345</v>
      </c>
      <c r="CB78" s="15" t="s">
        <v>346</v>
      </c>
    </row>
    <row r="79" spans="1:80" x14ac:dyDescent="0.3">
      <c r="A79" s="3">
        <v>78</v>
      </c>
      <c r="B79" s="7">
        <v>12</v>
      </c>
      <c r="C79" s="7" t="s">
        <v>142</v>
      </c>
      <c r="D79" s="3" t="s">
        <v>11</v>
      </c>
      <c r="E79" s="5" t="s">
        <v>132</v>
      </c>
      <c r="F79" s="5" t="s">
        <v>133</v>
      </c>
      <c r="G79" s="5" t="s">
        <v>134</v>
      </c>
      <c r="H79" s="5" t="s">
        <v>143</v>
      </c>
      <c r="K79" s="9">
        <v>229180.66500000001</v>
      </c>
      <c r="L79" s="9">
        <v>229180.66500000001</v>
      </c>
      <c r="M79" s="9">
        <v>148961.57999999999</v>
      </c>
      <c r="N79" s="9">
        <v>0</v>
      </c>
      <c r="O79" s="9">
        <v>14847.84</v>
      </c>
      <c r="P79" s="9">
        <v>65371.245000000003</v>
      </c>
      <c r="Q79" s="9">
        <v>0</v>
      </c>
      <c r="R79" s="10">
        <v>0</v>
      </c>
      <c r="S79" s="10">
        <v>0</v>
      </c>
      <c r="T79" s="10">
        <v>485</v>
      </c>
      <c r="U79" s="10">
        <v>15</v>
      </c>
      <c r="V79" s="10">
        <v>0</v>
      </c>
      <c r="W79" s="10">
        <v>0</v>
      </c>
      <c r="X79" s="16">
        <v>0</v>
      </c>
      <c r="Y79" s="32">
        <v>40345</v>
      </c>
      <c r="Z79" s="32">
        <v>40716</v>
      </c>
      <c r="AA79" s="32">
        <v>40854</v>
      </c>
      <c r="AB79" s="32">
        <v>41030</v>
      </c>
      <c r="AC79" s="37">
        <v>41030</v>
      </c>
      <c r="AE79" s="30"/>
      <c r="AF79" s="30"/>
      <c r="AG79" s="30"/>
      <c r="AI79" s="46"/>
      <c r="AJ79" s="46"/>
      <c r="AN79" s="30"/>
      <c r="AO79" s="53">
        <v>0</v>
      </c>
      <c r="AP79" s="54">
        <v>0</v>
      </c>
      <c r="AQ79" s="3" t="s">
        <v>312</v>
      </c>
      <c r="AR79" s="3"/>
      <c r="AS79" s="3"/>
      <c r="AT79" s="30">
        <v>0</v>
      </c>
      <c r="AU79" s="30">
        <v>0</v>
      </c>
      <c r="AV79" s="30">
        <v>0</v>
      </c>
      <c r="AW79" s="30"/>
      <c r="AX79" s="30"/>
      <c r="AY79" s="30"/>
      <c r="AZ79" s="30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X79" s="46"/>
      <c r="BY79" s="14" t="s">
        <v>345</v>
      </c>
      <c r="BZ79" s="14" t="s">
        <v>345</v>
      </c>
      <c r="CA79" s="15" t="s">
        <v>345</v>
      </c>
      <c r="CB79" s="15" t="s">
        <v>346</v>
      </c>
    </row>
    <row r="80" spans="1:80" x14ac:dyDescent="0.3">
      <c r="A80" s="3">
        <v>79</v>
      </c>
      <c r="B80" s="5">
        <v>44</v>
      </c>
      <c r="C80" s="5" t="s">
        <v>144</v>
      </c>
      <c r="D80" s="3" t="s">
        <v>11</v>
      </c>
      <c r="E80" s="5" t="s">
        <v>132</v>
      </c>
      <c r="F80" s="5" t="s">
        <v>133</v>
      </c>
      <c r="G80" s="5" t="s">
        <v>134</v>
      </c>
      <c r="H80" s="5" t="s">
        <v>145</v>
      </c>
      <c r="K80" s="9">
        <v>926775</v>
      </c>
      <c r="L80" s="9">
        <v>926775</v>
      </c>
      <c r="M80" s="9">
        <v>476861.95</v>
      </c>
      <c r="N80" s="9">
        <v>0</v>
      </c>
      <c r="O80" s="9">
        <v>99367.44</v>
      </c>
      <c r="P80" s="9">
        <v>261362.96</v>
      </c>
      <c r="Q80" s="9">
        <v>89182.65</v>
      </c>
      <c r="R80" s="10">
        <v>0</v>
      </c>
      <c r="S80" s="10">
        <v>0</v>
      </c>
      <c r="T80" s="10">
        <v>1627</v>
      </c>
      <c r="U80" s="10">
        <v>60</v>
      </c>
      <c r="V80" s="10">
        <v>0</v>
      </c>
      <c r="W80" s="10">
        <v>0</v>
      </c>
      <c r="X80" s="16">
        <v>0</v>
      </c>
      <c r="Y80" s="32">
        <v>41596</v>
      </c>
      <c r="Z80" s="32">
        <v>42047</v>
      </c>
      <c r="AA80" s="32">
        <v>42285</v>
      </c>
      <c r="AB80" s="32">
        <v>42309</v>
      </c>
      <c r="AC80" s="37">
        <v>42309</v>
      </c>
      <c r="AE80" s="30"/>
      <c r="AF80" s="30"/>
      <c r="AG80" s="30"/>
      <c r="AI80" s="46"/>
      <c r="AJ80" s="46"/>
      <c r="AN80" s="30"/>
      <c r="AO80" s="53">
        <v>0</v>
      </c>
      <c r="AP80" s="54">
        <v>0</v>
      </c>
      <c r="AQ80" s="3" t="s">
        <v>312</v>
      </c>
      <c r="AR80" s="3"/>
      <c r="AS80" s="3"/>
      <c r="AT80" s="30">
        <v>0</v>
      </c>
      <c r="AU80" s="30">
        <v>0</v>
      </c>
      <c r="AV80" s="30">
        <v>0</v>
      </c>
      <c r="AW80" s="30"/>
      <c r="AX80" s="30"/>
      <c r="AY80" s="30"/>
      <c r="AZ80" s="30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X80" s="46"/>
      <c r="BY80" s="14" t="s">
        <v>345</v>
      </c>
      <c r="BZ80" s="14" t="s">
        <v>345</v>
      </c>
      <c r="CA80" s="15" t="s">
        <v>345</v>
      </c>
      <c r="CB80" s="15" t="s">
        <v>346</v>
      </c>
    </row>
    <row r="81" spans="1:80" x14ac:dyDescent="0.3">
      <c r="A81" s="3">
        <v>80</v>
      </c>
      <c r="B81" s="5">
        <v>66</v>
      </c>
      <c r="C81" s="5" t="s">
        <v>146</v>
      </c>
      <c r="D81" s="3" t="s">
        <v>11</v>
      </c>
      <c r="E81" s="5" t="s">
        <v>132</v>
      </c>
      <c r="F81" s="5" t="s">
        <v>133</v>
      </c>
      <c r="G81" s="5" t="s">
        <v>134</v>
      </c>
      <c r="H81" s="5" t="s">
        <v>147</v>
      </c>
      <c r="K81" s="9">
        <v>683225</v>
      </c>
      <c r="L81" s="9">
        <v>683225</v>
      </c>
      <c r="M81" s="9">
        <v>350205.38</v>
      </c>
      <c r="N81" s="9">
        <v>0</v>
      </c>
      <c r="O81" s="9">
        <v>98652.27</v>
      </c>
      <c r="P81" s="9">
        <v>195772.7</v>
      </c>
      <c r="Q81" s="9">
        <v>38594.65</v>
      </c>
      <c r="R81" s="10">
        <v>0</v>
      </c>
      <c r="S81" s="10">
        <v>0</v>
      </c>
      <c r="T81" s="10">
        <v>1307</v>
      </c>
      <c r="U81" s="10">
        <v>46</v>
      </c>
      <c r="V81" s="10">
        <v>0</v>
      </c>
      <c r="W81" s="10">
        <v>0</v>
      </c>
      <c r="X81" s="16">
        <v>0</v>
      </c>
      <c r="Y81" s="32">
        <v>41576</v>
      </c>
      <c r="Z81" s="32">
        <v>42356</v>
      </c>
      <c r="AA81" s="32">
        <v>42646</v>
      </c>
      <c r="AB81" s="32">
        <v>42675</v>
      </c>
      <c r="AC81" s="32">
        <v>44617</v>
      </c>
      <c r="AD81" s="32"/>
      <c r="AE81" s="30"/>
      <c r="AF81" s="30"/>
      <c r="AG81" s="30"/>
      <c r="AI81" s="46"/>
      <c r="AJ81" s="46"/>
      <c r="AN81" s="30"/>
      <c r="AO81" s="53">
        <v>0</v>
      </c>
      <c r="AP81" s="54">
        <v>0</v>
      </c>
      <c r="AQ81" s="3" t="s">
        <v>312</v>
      </c>
      <c r="AR81" s="3"/>
      <c r="AS81" s="3"/>
      <c r="AT81" s="30">
        <v>0</v>
      </c>
      <c r="AU81" s="30">
        <v>0</v>
      </c>
      <c r="AV81" s="30">
        <v>0</v>
      </c>
      <c r="AW81" s="30"/>
      <c r="AX81" s="30"/>
      <c r="AY81" s="30"/>
      <c r="AZ81" s="30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X81" s="46"/>
      <c r="BY81" s="14" t="s">
        <v>345</v>
      </c>
      <c r="BZ81" s="14" t="s">
        <v>345</v>
      </c>
      <c r="CA81" s="15" t="s">
        <v>345</v>
      </c>
      <c r="CB81" s="15" t="s">
        <v>346</v>
      </c>
    </row>
    <row r="82" spans="1:80" x14ac:dyDescent="0.3">
      <c r="A82" s="3">
        <v>81</v>
      </c>
      <c r="B82" s="5">
        <v>12</v>
      </c>
      <c r="C82" s="5" t="s">
        <v>148</v>
      </c>
      <c r="D82" s="3" t="s">
        <v>11</v>
      </c>
      <c r="E82" s="5" t="s">
        <v>132</v>
      </c>
      <c r="F82" s="5" t="s">
        <v>133</v>
      </c>
      <c r="G82" s="5" t="s">
        <v>134</v>
      </c>
      <c r="H82" s="5" t="s">
        <v>149</v>
      </c>
      <c r="I82">
        <v>-18.779332</v>
      </c>
      <c r="J82">
        <v>-52.597208999999999</v>
      </c>
      <c r="K82" s="9">
        <v>549788</v>
      </c>
      <c r="L82" s="9">
        <v>549788</v>
      </c>
      <c r="M82" s="9">
        <v>286180.89</v>
      </c>
      <c r="N82" s="9">
        <v>0</v>
      </c>
      <c r="O82" s="9">
        <v>82504.850000000006</v>
      </c>
      <c r="P82" s="9">
        <v>153634.94</v>
      </c>
      <c r="Q82" s="9">
        <v>27467.32</v>
      </c>
      <c r="R82" s="10">
        <v>0</v>
      </c>
      <c r="S82" s="10">
        <v>0</v>
      </c>
      <c r="T82" s="10">
        <v>976</v>
      </c>
      <c r="U82" s="10">
        <v>42</v>
      </c>
      <c r="V82" s="10">
        <v>0</v>
      </c>
      <c r="W82" s="10">
        <v>0</v>
      </c>
      <c r="X82" s="16">
        <v>0</v>
      </c>
      <c r="Y82" s="32">
        <v>43089</v>
      </c>
      <c r="Z82" s="32">
        <v>43635</v>
      </c>
      <c r="AA82" s="32">
        <v>43746</v>
      </c>
      <c r="AB82" s="32">
        <v>43709</v>
      </c>
      <c r="AC82" s="32">
        <v>44617</v>
      </c>
      <c r="AD82" s="32"/>
      <c r="AE82" s="30">
        <v>10310.32</v>
      </c>
      <c r="AF82" s="30">
        <v>95191.42</v>
      </c>
      <c r="AG82" s="30">
        <v>4054.8499999999995</v>
      </c>
      <c r="AH82" s="30">
        <v>1449.84</v>
      </c>
      <c r="AI82" s="46">
        <v>50</v>
      </c>
      <c r="AJ82" s="46">
        <v>111</v>
      </c>
      <c r="AN82" s="30">
        <v>16321</v>
      </c>
      <c r="AO82" s="53">
        <v>0</v>
      </c>
      <c r="AP82" s="54">
        <v>0</v>
      </c>
      <c r="AQ82" s="3" t="s">
        <v>312</v>
      </c>
      <c r="AR82" s="3"/>
      <c r="AS82" s="3"/>
      <c r="AT82" s="30">
        <v>0</v>
      </c>
      <c r="AU82" s="30">
        <v>0</v>
      </c>
      <c r="AV82" s="30">
        <v>0</v>
      </c>
      <c r="AW82" s="30"/>
      <c r="AX82" s="30"/>
      <c r="AY82" s="30"/>
      <c r="AZ82" s="30">
        <v>15638.76</v>
      </c>
      <c r="BA82" s="46">
        <v>242</v>
      </c>
      <c r="BB82" s="46"/>
      <c r="BC82" s="46"/>
      <c r="BD82" s="46"/>
      <c r="BE82" s="46"/>
      <c r="BF82" s="46"/>
      <c r="BG82" s="46"/>
      <c r="BH82" s="46"/>
      <c r="BI82" s="46"/>
      <c r="BJ82" s="46"/>
      <c r="BK82" s="46">
        <v>242</v>
      </c>
      <c r="BL82" s="46">
        <v>242</v>
      </c>
      <c r="BM82" s="46">
        <v>242</v>
      </c>
      <c r="BN82" s="46">
        <v>242</v>
      </c>
      <c r="BX82" s="46"/>
      <c r="BY82" s="14" t="s">
        <v>345</v>
      </c>
      <c r="BZ82" s="14" t="s">
        <v>345</v>
      </c>
      <c r="CA82" s="15" t="s">
        <v>345</v>
      </c>
      <c r="CB82" s="15" t="s">
        <v>346</v>
      </c>
    </row>
    <row r="83" spans="1:80" x14ac:dyDescent="0.3">
      <c r="A83" s="3">
        <v>82</v>
      </c>
      <c r="B83" s="5">
        <v>12</v>
      </c>
      <c r="C83" s="5" t="s">
        <v>150</v>
      </c>
      <c r="D83" s="3" t="s">
        <v>11</v>
      </c>
      <c r="E83" s="5" t="s">
        <v>132</v>
      </c>
      <c r="F83" s="5" t="s">
        <v>133</v>
      </c>
      <c r="G83" s="5" t="s">
        <v>134</v>
      </c>
      <c r="H83" s="5" t="s">
        <v>39</v>
      </c>
      <c r="I83">
        <v>-18.776512</v>
      </c>
      <c r="J83">
        <v>-52.623609999999999</v>
      </c>
      <c r="K83" s="9">
        <v>770119</v>
      </c>
      <c r="L83" s="9">
        <v>770119</v>
      </c>
      <c r="M83" s="9">
        <v>389716.14</v>
      </c>
      <c r="N83" s="9">
        <v>0</v>
      </c>
      <c r="O83" s="9">
        <v>115826.34</v>
      </c>
      <c r="P83" s="9">
        <v>225869.31</v>
      </c>
      <c r="Q83" s="9">
        <v>38707.21</v>
      </c>
      <c r="R83" s="16">
        <v>0</v>
      </c>
      <c r="S83" s="16">
        <v>0</v>
      </c>
      <c r="T83" s="10">
        <v>1371</v>
      </c>
      <c r="U83" s="10">
        <v>44</v>
      </c>
      <c r="V83" s="10">
        <v>0</v>
      </c>
      <c r="W83" s="10">
        <v>0</v>
      </c>
      <c r="X83" s="16">
        <v>0</v>
      </c>
      <c r="Y83" s="32">
        <v>43556</v>
      </c>
      <c r="Z83" s="32">
        <v>44547</v>
      </c>
      <c r="AA83" s="32">
        <v>44708</v>
      </c>
      <c r="AB83" s="32">
        <v>44743</v>
      </c>
      <c r="AC83" s="32">
        <v>45614</v>
      </c>
      <c r="AD83" s="32"/>
      <c r="AE83" s="30">
        <v>18865.03</v>
      </c>
      <c r="AF83" s="30">
        <v>169460.76</v>
      </c>
      <c r="AG83" s="30">
        <v>3918.7200000000003</v>
      </c>
      <c r="AH83" s="30">
        <v>1503.96</v>
      </c>
      <c r="AI83" s="46">
        <v>71</v>
      </c>
      <c r="AJ83" s="46">
        <v>119</v>
      </c>
      <c r="AN83" s="30">
        <v>20986.21</v>
      </c>
      <c r="AO83" s="53">
        <v>0</v>
      </c>
      <c r="AP83" s="54">
        <v>0</v>
      </c>
      <c r="AQ83" s="3" t="s">
        <v>312</v>
      </c>
      <c r="AR83" s="3"/>
      <c r="AS83" s="3"/>
      <c r="AT83" s="30">
        <v>0</v>
      </c>
      <c r="AU83" s="30">
        <v>0</v>
      </c>
      <c r="AV83" s="30">
        <v>0</v>
      </c>
      <c r="AW83" s="30"/>
      <c r="AX83" s="30"/>
      <c r="AY83" s="30"/>
      <c r="AZ83" s="30">
        <v>19432.580000000002</v>
      </c>
      <c r="BA83" s="46">
        <v>275</v>
      </c>
      <c r="BB83" s="46"/>
      <c r="BC83" s="46"/>
      <c r="BD83" s="46"/>
      <c r="BE83" s="46"/>
      <c r="BF83" s="46"/>
      <c r="BG83" s="46"/>
      <c r="BH83" s="46"/>
      <c r="BI83" s="46"/>
      <c r="BJ83" s="46"/>
      <c r="BK83" s="46">
        <v>275</v>
      </c>
      <c r="BL83" s="46">
        <v>275</v>
      </c>
      <c r="BM83" s="46">
        <v>275</v>
      </c>
      <c r="BN83" s="46">
        <v>275</v>
      </c>
      <c r="BX83" s="46"/>
      <c r="BY83" s="14" t="s">
        <v>340</v>
      </c>
      <c r="BZ83" s="14" t="s">
        <v>341</v>
      </c>
      <c r="CA83" s="15" t="s">
        <v>351</v>
      </c>
      <c r="CB83" s="15" t="s">
        <v>348</v>
      </c>
    </row>
    <row r="84" spans="1:80" x14ac:dyDescent="0.3">
      <c r="A84" s="3">
        <v>83</v>
      </c>
      <c r="B84" s="5">
        <v>12</v>
      </c>
      <c r="C84" s="5" t="s">
        <v>151</v>
      </c>
      <c r="D84" s="3" t="s">
        <v>11</v>
      </c>
      <c r="E84" s="5" t="s">
        <v>132</v>
      </c>
      <c r="F84" s="5" t="s">
        <v>133</v>
      </c>
      <c r="G84" s="5" t="s">
        <v>134</v>
      </c>
      <c r="H84" s="5" t="s">
        <v>152</v>
      </c>
      <c r="I84">
        <v>-18.780373999999998</v>
      </c>
      <c r="J84">
        <v>-52.614874</v>
      </c>
      <c r="K84" s="9">
        <v>217008</v>
      </c>
      <c r="L84" s="9">
        <v>217008</v>
      </c>
      <c r="M84" s="9">
        <v>146830.15</v>
      </c>
      <c r="N84" s="9">
        <v>0</v>
      </c>
      <c r="O84" s="9">
        <v>0</v>
      </c>
      <c r="P84" s="9">
        <v>59205.37</v>
      </c>
      <c r="Q84" s="9">
        <v>10972.48</v>
      </c>
      <c r="R84" s="16">
        <v>0</v>
      </c>
      <c r="S84" s="16">
        <v>0</v>
      </c>
      <c r="T84" s="10">
        <v>470</v>
      </c>
      <c r="U84" s="10">
        <v>12</v>
      </c>
      <c r="V84" s="10">
        <v>0</v>
      </c>
      <c r="W84" s="10">
        <v>0</v>
      </c>
      <c r="X84" s="16">
        <v>0</v>
      </c>
      <c r="Y84" s="32">
        <v>43556</v>
      </c>
      <c r="Z84" s="32">
        <v>44114</v>
      </c>
      <c r="AA84" s="32">
        <v>44347</v>
      </c>
      <c r="AB84" s="32">
        <v>44348</v>
      </c>
      <c r="AC84" s="32">
        <v>44895</v>
      </c>
      <c r="AD84" s="32"/>
      <c r="AE84" s="30">
        <v>5079.84</v>
      </c>
      <c r="AF84" s="30">
        <v>48952.53</v>
      </c>
      <c r="AG84" s="30">
        <v>1371.28</v>
      </c>
      <c r="AH84" s="30">
        <v>609.99</v>
      </c>
      <c r="AI84" s="46">
        <v>20</v>
      </c>
      <c r="AJ84" s="46">
        <v>44</v>
      </c>
      <c r="AN84" s="30">
        <v>7509.13</v>
      </c>
      <c r="AO84" s="53">
        <v>0</v>
      </c>
      <c r="AP84" s="54">
        <v>0</v>
      </c>
      <c r="AQ84" s="3" t="s">
        <v>312</v>
      </c>
      <c r="AR84" s="3"/>
      <c r="AS84" s="3"/>
      <c r="AT84" s="30">
        <v>0</v>
      </c>
      <c r="AU84" s="30">
        <v>0</v>
      </c>
      <c r="AV84" s="30">
        <v>0</v>
      </c>
      <c r="AW84" s="30"/>
      <c r="AX84" s="30"/>
      <c r="AY84" s="30"/>
      <c r="AZ84" s="30">
        <v>6413.39</v>
      </c>
      <c r="BA84" s="46">
        <v>102</v>
      </c>
      <c r="BB84" s="46"/>
      <c r="BC84" s="46"/>
      <c r="BD84" s="46"/>
      <c r="BE84" s="46"/>
      <c r="BF84" s="46"/>
      <c r="BG84" s="46"/>
      <c r="BH84" s="46"/>
      <c r="BI84" s="46"/>
      <c r="BJ84" s="46"/>
      <c r="BK84" s="46">
        <v>102</v>
      </c>
      <c r="BL84" s="46">
        <v>102</v>
      </c>
      <c r="BM84" s="46">
        <v>102</v>
      </c>
      <c r="BN84" s="46">
        <v>102</v>
      </c>
      <c r="BX84" s="46"/>
      <c r="BY84" s="14" t="s">
        <v>345</v>
      </c>
      <c r="BZ84" s="14" t="s">
        <v>345</v>
      </c>
      <c r="CA84" s="15" t="s">
        <v>345</v>
      </c>
      <c r="CB84" s="15" t="s">
        <v>346</v>
      </c>
    </row>
    <row r="85" spans="1:80" x14ac:dyDescent="0.3">
      <c r="A85" s="3">
        <v>84</v>
      </c>
      <c r="B85" s="5">
        <v>130</v>
      </c>
      <c r="C85" s="5" t="s">
        <v>153</v>
      </c>
      <c r="D85" s="3" t="s">
        <v>11</v>
      </c>
      <c r="E85" s="5" t="s">
        <v>132</v>
      </c>
      <c r="F85" s="5" t="s">
        <v>133</v>
      </c>
      <c r="G85" s="5" t="s">
        <v>154</v>
      </c>
      <c r="H85" s="5" t="s">
        <v>33</v>
      </c>
      <c r="I85">
        <v>-22.262875000000001</v>
      </c>
      <c r="J85">
        <v>-54.792388000000003</v>
      </c>
      <c r="K85" s="9">
        <v>291273.90999999997</v>
      </c>
      <c r="L85" s="9">
        <v>202471.63999999996</v>
      </c>
      <c r="M85" s="9">
        <v>114531.04</v>
      </c>
      <c r="N85" s="9">
        <v>4745.9999999999709</v>
      </c>
      <c r="O85" s="9">
        <v>3522.29</v>
      </c>
      <c r="P85" s="9">
        <v>79672.31</v>
      </c>
      <c r="Q85" s="9">
        <v>0</v>
      </c>
      <c r="R85" s="16">
        <v>0</v>
      </c>
      <c r="S85" s="16">
        <v>0</v>
      </c>
      <c r="T85" s="10">
        <v>528</v>
      </c>
      <c r="U85" s="10">
        <v>32</v>
      </c>
      <c r="V85" s="10">
        <v>0</v>
      </c>
      <c r="W85" s="10">
        <v>0</v>
      </c>
      <c r="X85" s="16">
        <v>0</v>
      </c>
      <c r="Y85" s="32">
        <v>44188</v>
      </c>
      <c r="Z85" s="32">
        <v>44636</v>
      </c>
      <c r="AA85" s="32">
        <v>44690</v>
      </c>
      <c r="AB85" s="32">
        <v>45078</v>
      </c>
      <c r="AE85" s="30">
        <v>5648.1373809523802</v>
      </c>
      <c r="AF85" s="30">
        <v>45190.91</v>
      </c>
      <c r="AG85" s="30">
        <v>2132.04</v>
      </c>
      <c r="AH85" s="30">
        <v>1106</v>
      </c>
      <c r="AI85" s="46">
        <v>38</v>
      </c>
      <c r="AJ85" s="46">
        <v>106</v>
      </c>
      <c r="AN85" s="30">
        <v>9598.7199999999993</v>
      </c>
      <c r="AO85" s="53">
        <v>0</v>
      </c>
      <c r="AP85" s="54">
        <v>0</v>
      </c>
      <c r="AQ85" s="3" t="s">
        <v>312</v>
      </c>
      <c r="AR85" s="3"/>
      <c r="AS85" s="3"/>
      <c r="AT85" s="30">
        <v>0</v>
      </c>
      <c r="AU85" s="30">
        <v>0</v>
      </c>
      <c r="AV85" s="30">
        <v>0</v>
      </c>
      <c r="AW85" s="30"/>
      <c r="AX85" s="30"/>
      <c r="AY85" s="30"/>
      <c r="AZ85" s="30">
        <v>7072.9000000000005</v>
      </c>
      <c r="BA85" s="46">
        <v>116</v>
      </c>
      <c r="BB85" s="46"/>
      <c r="BC85" s="46"/>
      <c r="BD85" s="46"/>
      <c r="BE85" s="46"/>
      <c r="BF85" s="46"/>
      <c r="BG85" s="46"/>
      <c r="BH85" s="46"/>
      <c r="BI85" s="46"/>
      <c r="BJ85" s="46"/>
      <c r="BK85" s="46">
        <v>116</v>
      </c>
      <c r="BL85" s="46">
        <v>116</v>
      </c>
      <c r="BM85" s="46">
        <v>116</v>
      </c>
      <c r="BN85" s="46">
        <v>116</v>
      </c>
      <c r="BO85" s="9"/>
      <c r="BP85" s="9"/>
      <c r="BQ85" s="10">
        <v>144</v>
      </c>
      <c r="BR85" s="10"/>
      <c r="BS85" s="10"/>
      <c r="BT85" s="10"/>
      <c r="BU85" s="10"/>
      <c r="BV85" s="10"/>
      <c r="BW85" s="10"/>
      <c r="BX85" s="46">
        <v>529</v>
      </c>
      <c r="BY85" s="14" t="s">
        <v>340</v>
      </c>
      <c r="BZ85" s="14" t="s">
        <v>341</v>
      </c>
      <c r="CA85" s="15" t="s">
        <v>351</v>
      </c>
      <c r="CB85" s="15" t="s">
        <v>348</v>
      </c>
    </row>
    <row r="86" spans="1:80" x14ac:dyDescent="0.3">
      <c r="A86" s="3">
        <v>85</v>
      </c>
      <c r="B86" s="5">
        <v>43</v>
      </c>
      <c r="C86" s="5" t="s">
        <v>155</v>
      </c>
      <c r="D86" s="3" t="s">
        <v>11</v>
      </c>
      <c r="E86" s="5" t="s">
        <v>132</v>
      </c>
      <c r="F86" s="5" t="s">
        <v>133</v>
      </c>
      <c r="G86" s="5" t="s">
        <v>154</v>
      </c>
      <c r="H86" s="5" t="s">
        <v>53</v>
      </c>
      <c r="I86">
        <v>-22.269901000000001</v>
      </c>
      <c r="J86">
        <v>-54.763032000000003</v>
      </c>
      <c r="K86" s="9">
        <v>865615.24</v>
      </c>
      <c r="L86" s="9">
        <v>865615.24</v>
      </c>
      <c r="M86" s="9">
        <v>516913.59</v>
      </c>
      <c r="N86" s="9">
        <v>0</v>
      </c>
      <c r="O86" s="9">
        <v>58102.080000000002</v>
      </c>
      <c r="P86" s="9">
        <v>290599.57</v>
      </c>
      <c r="Q86" s="9">
        <v>0</v>
      </c>
      <c r="R86" s="16">
        <v>0</v>
      </c>
      <c r="S86" s="16">
        <v>0</v>
      </c>
      <c r="T86" s="10">
        <v>1919</v>
      </c>
      <c r="U86" s="10">
        <v>88</v>
      </c>
      <c r="V86" s="10">
        <v>0</v>
      </c>
      <c r="W86" s="10">
        <v>0</v>
      </c>
      <c r="X86" s="16">
        <v>0</v>
      </c>
      <c r="Y86" s="32">
        <v>41367</v>
      </c>
      <c r="Z86" s="32">
        <v>41717</v>
      </c>
      <c r="AA86" s="32">
        <v>41922</v>
      </c>
      <c r="AB86" s="32">
        <v>41967</v>
      </c>
      <c r="AC86" s="32">
        <v>44775</v>
      </c>
      <c r="AD86" s="32"/>
      <c r="AE86" s="30"/>
      <c r="AF86" s="30"/>
      <c r="AG86" s="30"/>
      <c r="AI86" s="46"/>
      <c r="AJ86" s="46"/>
      <c r="AN86" s="30"/>
      <c r="AO86" s="53">
        <v>0</v>
      </c>
      <c r="AP86" s="54">
        <v>0</v>
      </c>
      <c r="AQ86" s="3" t="s">
        <v>312</v>
      </c>
      <c r="AR86" s="3"/>
      <c r="AS86" s="3"/>
      <c r="AT86" s="30">
        <v>0</v>
      </c>
      <c r="AU86" s="30">
        <v>0</v>
      </c>
      <c r="AV86" s="30">
        <v>0</v>
      </c>
      <c r="AW86" s="30"/>
      <c r="AX86" s="30"/>
      <c r="AY86" s="30"/>
      <c r="AZ86" s="30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X86" s="46"/>
      <c r="BY86" s="14" t="s">
        <v>345</v>
      </c>
      <c r="BZ86" s="14" t="s">
        <v>345</v>
      </c>
      <c r="CA86" s="15" t="s">
        <v>345</v>
      </c>
      <c r="CB86" s="15" t="s">
        <v>346</v>
      </c>
    </row>
    <row r="87" spans="1:80" x14ac:dyDescent="0.3">
      <c r="A87" s="3">
        <v>86</v>
      </c>
      <c r="B87" s="5">
        <v>79</v>
      </c>
      <c r="C87" s="5" t="s">
        <v>156</v>
      </c>
      <c r="D87" s="3" t="s">
        <v>11</v>
      </c>
      <c r="E87" s="5" t="s">
        <v>132</v>
      </c>
      <c r="F87" s="5" t="s">
        <v>133</v>
      </c>
      <c r="G87" s="5" t="s">
        <v>154</v>
      </c>
      <c r="H87" s="5" t="s">
        <v>64</v>
      </c>
      <c r="I87">
        <v>-22.271079</v>
      </c>
      <c r="J87">
        <v>-54.789726000000002</v>
      </c>
      <c r="K87" s="9">
        <v>972092.4</v>
      </c>
      <c r="L87" s="9">
        <v>946341.03</v>
      </c>
      <c r="M87" s="9">
        <v>499305.62</v>
      </c>
      <c r="N87" s="9">
        <v>0</v>
      </c>
      <c r="O87" s="9">
        <v>52544.18</v>
      </c>
      <c r="P87" s="9">
        <v>346196.32</v>
      </c>
      <c r="Q87" s="9">
        <v>48294.91</v>
      </c>
      <c r="R87" s="16">
        <v>0</v>
      </c>
      <c r="S87" s="16">
        <v>0</v>
      </c>
      <c r="T87" s="20">
        <f>1814+6+20+(18-13)+(18-12)+(16-12)+3</f>
        <v>1858</v>
      </c>
      <c r="U87" s="16">
        <v>90</v>
      </c>
      <c r="V87" s="10">
        <v>1814</v>
      </c>
      <c r="W87" s="10">
        <v>88</v>
      </c>
      <c r="X87" s="16">
        <v>0</v>
      </c>
      <c r="Y87" s="32">
        <v>41921</v>
      </c>
      <c r="Z87" s="32">
        <v>42608</v>
      </c>
      <c r="AA87" s="32">
        <v>42648</v>
      </c>
      <c r="AB87" s="32">
        <v>42705</v>
      </c>
      <c r="AC87" s="32">
        <v>45341</v>
      </c>
      <c r="AD87" s="32"/>
      <c r="AE87" s="30"/>
      <c r="AF87" s="30"/>
      <c r="AG87" s="30"/>
      <c r="AI87" s="46"/>
      <c r="AJ87" s="46"/>
      <c r="AN87" s="30"/>
      <c r="AO87" s="53">
        <v>0</v>
      </c>
      <c r="AP87" s="54">
        <v>0</v>
      </c>
      <c r="AQ87" s="3" t="s">
        <v>312</v>
      </c>
      <c r="AR87" s="3"/>
      <c r="AS87" s="3"/>
      <c r="AT87" s="30">
        <v>0</v>
      </c>
      <c r="AU87" s="30">
        <v>0</v>
      </c>
      <c r="AV87" s="30">
        <v>0</v>
      </c>
      <c r="AW87" s="30"/>
      <c r="AX87" s="30"/>
      <c r="AY87" s="30"/>
      <c r="AZ87" s="30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X87" s="46"/>
      <c r="BY87" s="14" t="s">
        <v>345</v>
      </c>
      <c r="BZ87" s="14" t="s">
        <v>345</v>
      </c>
      <c r="CA87" s="15" t="s">
        <v>345</v>
      </c>
      <c r="CB87" s="15" t="s">
        <v>346</v>
      </c>
    </row>
    <row r="88" spans="1:80" x14ac:dyDescent="0.3">
      <c r="A88" s="3">
        <v>87</v>
      </c>
      <c r="B88" s="5">
        <v>110</v>
      </c>
      <c r="C88" s="5" t="s">
        <v>157</v>
      </c>
      <c r="D88" s="3" t="s">
        <v>11</v>
      </c>
      <c r="E88" s="5" t="s">
        <v>132</v>
      </c>
      <c r="F88" s="5" t="s">
        <v>133</v>
      </c>
      <c r="G88" s="5" t="s">
        <v>154</v>
      </c>
      <c r="H88" s="5" t="s">
        <v>40</v>
      </c>
      <c r="I88">
        <v>-22.267101</v>
      </c>
      <c r="J88">
        <v>-54.792785000000002</v>
      </c>
      <c r="K88" s="9">
        <v>297618.74</v>
      </c>
      <c r="L88" s="9">
        <v>280497.03999999998</v>
      </c>
      <c r="M88" s="9">
        <v>140167.98000000001</v>
      </c>
      <c r="N88" s="9">
        <v>0</v>
      </c>
      <c r="O88" s="9">
        <v>12993.16</v>
      </c>
      <c r="P88" s="9">
        <v>67579.38</v>
      </c>
      <c r="Q88" s="9">
        <v>59756.52</v>
      </c>
      <c r="R88" s="16">
        <v>0</v>
      </c>
      <c r="S88" s="16">
        <v>0</v>
      </c>
      <c r="T88" s="16">
        <v>726</v>
      </c>
      <c r="U88" s="16">
        <v>30</v>
      </c>
      <c r="V88" s="10">
        <v>635</v>
      </c>
      <c r="W88" s="10">
        <v>25</v>
      </c>
      <c r="X88" s="16">
        <v>0</v>
      </c>
      <c r="Y88" s="32">
        <v>42250</v>
      </c>
      <c r="Z88" s="32">
        <v>42702</v>
      </c>
      <c r="AA88" s="32">
        <v>42733</v>
      </c>
      <c r="AB88" s="32">
        <v>43952</v>
      </c>
      <c r="AC88" s="32">
        <v>45341</v>
      </c>
      <c r="AD88" s="32"/>
      <c r="AE88" s="30">
        <v>6488.86</v>
      </c>
      <c r="AF88" s="30">
        <v>46280.05</v>
      </c>
      <c r="AG88" s="30">
        <v>2012.6999999999998</v>
      </c>
      <c r="AH88" s="30">
        <v>896.23</v>
      </c>
      <c r="AI88" s="46">
        <v>28</v>
      </c>
      <c r="AJ88" s="46">
        <v>82</v>
      </c>
      <c r="AN88" s="30">
        <v>10174.74</v>
      </c>
      <c r="AO88" s="53">
        <v>0</v>
      </c>
      <c r="AP88" s="54">
        <v>0</v>
      </c>
      <c r="AQ88" s="3" t="s">
        <v>312</v>
      </c>
      <c r="AR88" s="3"/>
      <c r="AS88" s="3"/>
      <c r="AT88" s="30">
        <v>0</v>
      </c>
      <c r="AU88" s="30">
        <v>0</v>
      </c>
      <c r="AV88" s="30">
        <v>0</v>
      </c>
      <c r="AW88" s="30"/>
      <c r="AX88" s="30"/>
      <c r="AY88" s="30"/>
      <c r="AZ88" s="30">
        <v>8417.48</v>
      </c>
      <c r="BA88" s="46">
        <v>171</v>
      </c>
      <c r="BB88" s="46"/>
      <c r="BC88" s="46"/>
      <c r="BD88" s="46"/>
      <c r="BE88" s="46"/>
      <c r="BF88" s="46"/>
      <c r="BG88" s="46"/>
      <c r="BH88" s="46"/>
      <c r="BI88" s="46"/>
      <c r="BJ88" s="46"/>
      <c r="BK88" s="46">
        <v>171</v>
      </c>
      <c r="BL88" s="46">
        <v>171</v>
      </c>
      <c r="BM88" s="46">
        <v>171</v>
      </c>
      <c r="BN88" s="46">
        <v>171</v>
      </c>
      <c r="BX88" s="46"/>
      <c r="BY88" s="14" t="s">
        <v>345</v>
      </c>
      <c r="BZ88" s="14" t="s">
        <v>345</v>
      </c>
      <c r="CA88" s="15" t="s">
        <v>345</v>
      </c>
      <c r="CB88" s="15" t="s">
        <v>346</v>
      </c>
    </row>
    <row r="89" spans="1:80" x14ac:dyDescent="0.3">
      <c r="A89" s="3">
        <v>88</v>
      </c>
      <c r="D89" s="3" t="s">
        <v>11</v>
      </c>
      <c r="E89" s="5" t="s">
        <v>132</v>
      </c>
      <c r="F89" s="5" t="s">
        <v>133</v>
      </c>
      <c r="G89" s="5" t="s">
        <v>154</v>
      </c>
      <c r="H89" s="5" t="s">
        <v>158</v>
      </c>
      <c r="I89">
        <v>-22.264890999999999</v>
      </c>
      <c r="J89">
        <v>-54.795661000000003</v>
      </c>
      <c r="K89" s="9">
        <v>8875.89</v>
      </c>
      <c r="L89" s="9">
        <v>8875.89</v>
      </c>
      <c r="M89" s="9">
        <v>8875.89</v>
      </c>
      <c r="N89" s="9">
        <v>0</v>
      </c>
      <c r="O89" s="9">
        <v>0</v>
      </c>
      <c r="P89" s="9">
        <v>0</v>
      </c>
      <c r="Q89" s="9">
        <v>0</v>
      </c>
      <c r="R89" s="16">
        <v>0</v>
      </c>
      <c r="S89" s="16">
        <v>0</v>
      </c>
      <c r="T89" s="10">
        <v>28</v>
      </c>
      <c r="U89" s="10">
        <v>1</v>
      </c>
      <c r="V89" s="10">
        <v>0</v>
      </c>
      <c r="W89" s="10">
        <v>0</v>
      </c>
      <c r="X89" s="16">
        <v>0</v>
      </c>
      <c r="Y89" s="32">
        <v>42429</v>
      </c>
      <c r="Z89" s="36">
        <v>42429</v>
      </c>
      <c r="AA89" s="36">
        <v>42429</v>
      </c>
      <c r="AB89" s="36">
        <v>42429</v>
      </c>
      <c r="AC89" s="32">
        <v>42429</v>
      </c>
      <c r="AD89" s="32"/>
      <c r="AE89" s="30"/>
      <c r="AF89" s="30"/>
      <c r="AG89" s="30"/>
      <c r="AI89" s="46"/>
      <c r="AJ89" s="46"/>
      <c r="AK89" s="52">
        <v>0</v>
      </c>
      <c r="AL89" s="52">
        <v>0</v>
      </c>
      <c r="AM89" s="52">
        <v>0</v>
      </c>
      <c r="AN89" s="30">
        <v>0</v>
      </c>
      <c r="AO89" s="53">
        <v>0</v>
      </c>
      <c r="AP89" s="54">
        <v>0</v>
      </c>
      <c r="AQ89" s="3" t="s">
        <v>312</v>
      </c>
      <c r="AR89" s="3"/>
      <c r="AS89" s="3"/>
      <c r="AT89" s="30">
        <v>0</v>
      </c>
      <c r="AU89" s="30">
        <v>0</v>
      </c>
      <c r="AV89" s="30">
        <v>0</v>
      </c>
      <c r="AW89" s="30"/>
      <c r="AX89" s="30"/>
      <c r="AY89" s="30"/>
      <c r="AZ89" s="30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X89" s="46"/>
      <c r="BY89" s="14" t="s">
        <v>345</v>
      </c>
      <c r="BZ89" s="14" t="s">
        <v>345</v>
      </c>
      <c r="CA89" s="15" t="s">
        <v>345</v>
      </c>
      <c r="CB89" s="15" t="s">
        <v>346</v>
      </c>
    </row>
    <row r="90" spans="1:80" x14ac:dyDescent="0.3">
      <c r="A90" s="3">
        <v>89</v>
      </c>
      <c r="D90" s="3" t="s">
        <v>11</v>
      </c>
      <c r="E90" s="5" t="s">
        <v>132</v>
      </c>
      <c r="F90" s="5" t="s">
        <v>133</v>
      </c>
      <c r="G90" s="5" t="s">
        <v>154</v>
      </c>
      <c r="H90" s="5" t="s">
        <v>98</v>
      </c>
      <c r="I90">
        <v>-22.256045</v>
      </c>
      <c r="J90">
        <v>-54.850406999999997</v>
      </c>
      <c r="K90" s="12">
        <v>1028390.25</v>
      </c>
      <c r="L90" s="12">
        <v>771164.36</v>
      </c>
      <c r="M90" s="12">
        <v>429180.1</v>
      </c>
      <c r="N90" s="12">
        <v>0</v>
      </c>
      <c r="O90" s="12">
        <v>44251.54</v>
      </c>
      <c r="P90" s="12">
        <v>266650.08</v>
      </c>
      <c r="Q90" s="12">
        <v>27682.01</v>
      </c>
      <c r="R90" s="13">
        <v>0</v>
      </c>
      <c r="S90" s="13">
        <v>0</v>
      </c>
      <c r="T90" s="13">
        <v>1494</v>
      </c>
      <c r="U90" s="13">
        <v>67</v>
      </c>
      <c r="V90" s="13">
        <v>0</v>
      </c>
      <c r="W90" s="13">
        <v>0</v>
      </c>
      <c r="X90" s="13">
        <v>0</v>
      </c>
      <c r="Y90" s="32">
        <v>45811</v>
      </c>
      <c r="Z90" s="36"/>
      <c r="AA90" s="36"/>
      <c r="AB90" s="36"/>
      <c r="AC90" s="36"/>
      <c r="AD90" s="32">
        <v>46539</v>
      </c>
      <c r="AE90" s="30"/>
      <c r="AF90" s="30"/>
      <c r="AG90" s="30"/>
      <c r="AI90" s="46"/>
      <c r="AJ90" s="46"/>
      <c r="AN90" s="30"/>
      <c r="AO90" s="53">
        <v>0</v>
      </c>
      <c r="AP90" s="54">
        <v>0</v>
      </c>
      <c r="AQ90" s="3" t="s">
        <v>312</v>
      </c>
      <c r="AR90" s="3"/>
      <c r="AS90" s="3"/>
      <c r="AT90" s="30">
        <v>0</v>
      </c>
      <c r="AU90" s="30">
        <v>0</v>
      </c>
      <c r="AV90" s="30">
        <v>0</v>
      </c>
      <c r="AW90" s="30"/>
      <c r="AX90" s="30"/>
      <c r="AY90" s="30"/>
      <c r="AZ90" s="30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X90" s="46"/>
      <c r="BY90" s="14" t="s">
        <v>345</v>
      </c>
      <c r="BZ90" s="14" t="s">
        <v>345</v>
      </c>
      <c r="CA90" s="15" t="s">
        <v>345</v>
      </c>
      <c r="CB90" s="15" t="s">
        <v>344</v>
      </c>
    </row>
    <row r="91" spans="1:80" x14ac:dyDescent="0.3">
      <c r="A91" s="3">
        <v>90</v>
      </c>
      <c r="D91" s="3" t="s">
        <v>11</v>
      </c>
      <c r="E91" s="5" t="s">
        <v>132</v>
      </c>
      <c r="F91" s="5" t="s">
        <v>133</v>
      </c>
      <c r="G91" s="5" t="s">
        <v>154</v>
      </c>
      <c r="H91" s="5" t="s">
        <v>159</v>
      </c>
      <c r="K91" s="23">
        <f>65*10000</f>
        <v>650000</v>
      </c>
      <c r="L91" s="23"/>
      <c r="M91" s="23"/>
      <c r="N91" s="23"/>
      <c r="O91" s="23"/>
      <c r="P91" s="23"/>
      <c r="Q91" s="23"/>
      <c r="R91" s="24">
        <v>0</v>
      </c>
      <c r="S91" s="24">
        <f>K91*20/10000</f>
        <v>1300</v>
      </c>
      <c r="T91" s="24"/>
      <c r="U91" s="24"/>
      <c r="V91" s="24">
        <v>0</v>
      </c>
      <c r="W91" s="24">
        <v>0</v>
      </c>
      <c r="X91" s="24">
        <v>0</v>
      </c>
      <c r="Y91" s="32">
        <v>45697</v>
      </c>
      <c r="Z91" s="36"/>
      <c r="AA91" s="36"/>
      <c r="AB91" s="36"/>
      <c r="AC91" s="36"/>
      <c r="AD91" s="32">
        <v>47270</v>
      </c>
      <c r="AE91" s="30"/>
      <c r="AF91" s="30"/>
      <c r="AG91" s="30"/>
      <c r="AI91" s="46"/>
      <c r="AJ91" s="46"/>
      <c r="AN91" s="30"/>
      <c r="AW91" s="30"/>
      <c r="AX91" s="30"/>
      <c r="AY91" s="30"/>
      <c r="AZ91" s="30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X91" s="46"/>
      <c r="BY91" s="14" t="s">
        <v>345</v>
      </c>
      <c r="BZ91" s="14" t="s">
        <v>345</v>
      </c>
      <c r="CA91" s="15" t="s">
        <v>345</v>
      </c>
      <c r="CB91" s="15" t="s">
        <v>344</v>
      </c>
    </row>
    <row r="92" spans="1:80" x14ac:dyDescent="0.3">
      <c r="A92" s="3">
        <v>91</v>
      </c>
      <c r="D92" s="3" t="s">
        <v>11</v>
      </c>
      <c r="E92" s="5" t="s">
        <v>132</v>
      </c>
      <c r="F92" s="5" t="s">
        <v>133</v>
      </c>
      <c r="G92" s="5" t="s">
        <v>160</v>
      </c>
      <c r="H92" s="5" t="s">
        <v>39</v>
      </c>
      <c r="I92">
        <v>-20.952324999999998</v>
      </c>
      <c r="J92">
        <v>-54.981689000000003</v>
      </c>
      <c r="K92" s="12">
        <v>999769</v>
      </c>
      <c r="L92" s="12">
        <v>999769</v>
      </c>
      <c r="M92" s="12">
        <v>589893.96</v>
      </c>
      <c r="N92" s="12">
        <v>0</v>
      </c>
      <c r="O92" s="12">
        <v>85181.200000000012</v>
      </c>
      <c r="P92" s="12">
        <v>267424.73</v>
      </c>
      <c r="Q92" s="12">
        <v>57269.11</v>
      </c>
      <c r="R92" s="13">
        <v>0</v>
      </c>
      <c r="S92" s="13">
        <v>0</v>
      </c>
      <c r="T92" s="13">
        <v>2768</v>
      </c>
      <c r="U92" s="13">
        <v>63</v>
      </c>
      <c r="V92" s="13">
        <v>0</v>
      </c>
      <c r="W92" s="13">
        <v>0</v>
      </c>
      <c r="X92" s="13">
        <v>0</v>
      </c>
      <c r="Y92" s="32">
        <v>45700</v>
      </c>
      <c r="Z92" s="32">
        <v>45980</v>
      </c>
      <c r="AA92" s="39">
        <v>46056</v>
      </c>
      <c r="AD92" s="32">
        <v>46261</v>
      </c>
      <c r="AE92" s="30"/>
      <c r="AF92" s="30"/>
      <c r="AG92" s="30"/>
      <c r="AI92" s="46"/>
      <c r="AJ92" s="46"/>
      <c r="AN92" s="30"/>
      <c r="AQ92" s="3" t="s">
        <v>311</v>
      </c>
      <c r="AR92" s="3"/>
      <c r="AS92" s="3"/>
      <c r="AW92" s="30"/>
      <c r="AX92" s="30"/>
      <c r="AY92" s="30"/>
      <c r="AZ92" s="30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9">
        <v>10598</v>
      </c>
      <c r="BP92" s="9">
        <v>20718</v>
      </c>
      <c r="BQ92" s="10">
        <v>602</v>
      </c>
      <c r="BR92" s="10">
        <v>88</v>
      </c>
      <c r="BS92" s="10">
        <v>0</v>
      </c>
      <c r="BT92" s="10">
        <v>15</v>
      </c>
      <c r="BU92" s="10">
        <v>51</v>
      </c>
      <c r="BV92" s="10">
        <v>0</v>
      </c>
      <c r="BW92" s="10">
        <v>0</v>
      </c>
      <c r="BX92" s="46"/>
      <c r="BY92" s="14" t="s">
        <v>340</v>
      </c>
      <c r="BZ92" s="14" t="s">
        <v>341</v>
      </c>
      <c r="CA92" s="15" t="s">
        <v>347</v>
      </c>
      <c r="CB92" s="15" t="s">
        <v>343</v>
      </c>
    </row>
    <row r="93" spans="1:80" x14ac:dyDescent="0.3">
      <c r="A93" s="3">
        <v>92</v>
      </c>
      <c r="D93" s="3" t="s">
        <v>11</v>
      </c>
      <c r="E93" s="5" t="s">
        <v>132</v>
      </c>
      <c r="F93" s="5" t="s">
        <v>133</v>
      </c>
      <c r="G93" s="5" t="s">
        <v>160</v>
      </c>
      <c r="H93" s="5" t="s">
        <v>161</v>
      </c>
      <c r="K93" s="12">
        <f>(124.9322*10000)/2</f>
        <v>624661</v>
      </c>
      <c r="L93" s="12">
        <f>K93*0.55</f>
        <v>343563.55000000005</v>
      </c>
      <c r="M93" s="12"/>
      <c r="N93" s="12"/>
      <c r="O93" s="12"/>
      <c r="P93" s="12"/>
      <c r="Q93" s="12"/>
      <c r="R93" s="13">
        <v>0</v>
      </c>
      <c r="S93" s="13">
        <f>K93*25/10000</f>
        <v>1561.6524999999999</v>
      </c>
      <c r="T93" s="13"/>
      <c r="U93" s="13"/>
      <c r="V93" s="13">
        <v>0</v>
      </c>
      <c r="W93" s="13">
        <v>0</v>
      </c>
      <c r="X93" s="13">
        <v>0</v>
      </c>
      <c r="Y93" s="32">
        <v>45700</v>
      </c>
      <c r="AD93" s="32">
        <v>47270</v>
      </c>
      <c r="AE93" s="30"/>
      <c r="AF93" s="30"/>
      <c r="AG93" s="30"/>
      <c r="AI93" s="46"/>
      <c r="AJ93" s="46"/>
      <c r="AN93" s="30"/>
      <c r="AW93" s="30"/>
      <c r="AX93" s="30"/>
      <c r="AY93" s="30"/>
      <c r="AZ93" s="30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X93" s="46"/>
      <c r="BY93" s="14" t="s">
        <v>340</v>
      </c>
      <c r="BZ93" s="14" t="s">
        <v>341</v>
      </c>
      <c r="CA93" s="15" t="s">
        <v>347</v>
      </c>
      <c r="CB93" s="15" t="s">
        <v>344</v>
      </c>
    </row>
    <row r="94" spans="1:80" x14ac:dyDescent="0.3">
      <c r="A94" s="3">
        <v>93</v>
      </c>
      <c r="D94" s="3" t="s">
        <v>11</v>
      </c>
      <c r="E94" s="5" t="s">
        <v>132</v>
      </c>
      <c r="F94" s="5" t="s">
        <v>133</v>
      </c>
      <c r="G94" s="5" t="s">
        <v>160</v>
      </c>
      <c r="H94" s="5" t="s">
        <v>162</v>
      </c>
      <c r="K94" s="12">
        <f>(124.9322*10000)/2</f>
        <v>624661</v>
      </c>
      <c r="L94" s="12">
        <f>K94*0.55</f>
        <v>343563.55000000005</v>
      </c>
      <c r="M94" s="12"/>
      <c r="N94" s="12"/>
      <c r="O94" s="12"/>
      <c r="P94" s="12"/>
      <c r="Q94" s="12"/>
      <c r="R94" s="13">
        <v>0</v>
      </c>
      <c r="S94" s="13">
        <f>K94*25/10000</f>
        <v>1561.6524999999999</v>
      </c>
      <c r="T94" s="13"/>
      <c r="U94" s="13"/>
      <c r="V94" s="13">
        <v>0</v>
      </c>
      <c r="W94" s="13">
        <v>0</v>
      </c>
      <c r="X94" s="13">
        <v>0</v>
      </c>
      <c r="Y94" s="32">
        <v>45700</v>
      </c>
      <c r="AD94" s="32">
        <v>48000</v>
      </c>
      <c r="AE94" s="30"/>
      <c r="AF94" s="30"/>
      <c r="AG94" s="30"/>
      <c r="AI94" s="46"/>
      <c r="AJ94" s="46"/>
      <c r="AN94" s="30"/>
      <c r="AW94" s="30"/>
      <c r="AX94" s="30"/>
      <c r="AY94" s="30"/>
      <c r="AZ94" s="30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X94" s="46"/>
      <c r="BY94" s="14" t="s">
        <v>340</v>
      </c>
      <c r="BZ94" s="14" t="s">
        <v>341</v>
      </c>
      <c r="CA94" s="15" t="s">
        <v>347</v>
      </c>
      <c r="CB94" s="15" t="s">
        <v>344</v>
      </c>
    </row>
    <row r="95" spans="1:80" x14ac:dyDescent="0.3">
      <c r="A95" s="3">
        <v>94</v>
      </c>
      <c r="B95" s="5">
        <v>105</v>
      </c>
      <c r="C95" s="5" t="s">
        <v>163</v>
      </c>
      <c r="D95" s="3" t="s">
        <v>11</v>
      </c>
      <c r="E95" s="5" t="s">
        <v>164</v>
      </c>
      <c r="F95" s="5" t="s">
        <v>165</v>
      </c>
      <c r="G95" s="5" t="s">
        <v>166</v>
      </c>
      <c r="H95" s="5" t="s">
        <v>33</v>
      </c>
      <c r="K95" s="9">
        <f>616150+68183</f>
        <v>684333</v>
      </c>
      <c r="L95" s="9">
        <v>616150</v>
      </c>
      <c r="M95" s="9">
        <v>331586.53999999998</v>
      </c>
      <c r="N95" s="9">
        <v>0</v>
      </c>
      <c r="O95" s="9">
        <v>61623.149999999987</v>
      </c>
      <c r="P95" s="9">
        <v>161161.60000000001</v>
      </c>
      <c r="Q95" s="9">
        <v>61778.62</v>
      </c>
      <c r="R95" s="16">
        <v>0</v>
      </c>
      <c r="S95" s="16">
        <v>0</v>
      </c>
      <c r="T95" s="10">
        <v>1252</v>
      </c>
      <c r="U95" s="10">
        <v>31</v>
      </c>
      <c r="V95" s="10">
        <v>0</v>
      </c>
      <c r="W95" s="10">
        <v>0</v>
      </c>
      <c r="X95" s="16">
        <v>0</v>
      </c>
      <c r="Y95" s="32">
        <v>43822</v>
      </c>
      <c r="Z95" s="32">
        <v>44993</v>
      </c>
      <c r="AA95" s="39">
        <v>45093</v>
      </c>
      <c r="AB95" s="32">
        <v>45498</v>
      </c>
      <c r="AC95" s="32">
        <v>46008</v>
      </c>
      <c r="AD95"/>
      <c r="AK95" s="7"/>
      <c r="AL95" s="7"/>
      <c r="AM95" s="7"/>
      <c r="AN95" s="42"/>
      <c r="AO95" s="52">
        <v>0</v>
      </c>
      <c r="AP95" s="30">
        <v>200</v>
      </c>
      <c r="AQ95" s="3" t="s">
        <v>311</v>
      </c>
      <c r="AR95" s="3"/>
      <c r="AS95" s="3"/>
      <c r="AT95" s="46">
        <v>6</v>
      </c>
      <c r="AU95" s="30">
        <f>25.41+8.075+4.056+7.024+6.042+6.085</f>
        <v>56.692</v>
      </c>
      <c r="AV95" s="30">
        <v>19.2</v>
      </c>
      <c r="BY95" s="14" t="s">
        <v>340</v>
      </c>
      <c r="BZ95" s="14" t="s">
        <v>341</v>
      </c>
      <c r="CA95" s="15" t="s">
        <v>347</v>
      </c>
      <c r="CB95" s="15" t="s">
        <v>348</v>
      </c>
    </row>
    <row r="96" spans="1:80" x14ac:dyDescent="0.3">
      <c r="A96" s="3">
        <v>95</v>
      </c>
      <c r="D96" s="3" t="s">
        <v>11</v>
      </c>
      <c r="E96" s="5" t="s">
        <v>164</v>
      </c>
      <c r="F96" s="5" t="s">
        <v>165</v>
      </c>
      <c r="G96" s="5" t="s">
        <v>166</v>
      </c>
      <c r="H96" s="5" t="s">
        <v>98</v>
      </c>
      <c r="K96" s="12">
        <v>156716.12</v>
      </c>
      <c r="L96" s="12">
        <v>156716.12</v>
      </c>
      <c r="M96" s="12">
        <v>76550.45</v>
      </c>
      <c r="N96" s="12"/>
      <c r="O96" s="12">
        <v>15673.22</v>
      </c>
      <c r="P96" s="12">
        <v>48807.89</v>
      </c>
      <c r="Q96" s="12">
        <v>15684.56</v>
      </c>
      <c r="R96" s="13">
        <v>0</v>
      </c>
      <c r="S96" s="13">
        <v>0</v>
      </c>
      <c r="T96" s="13">
        <v>361</v>
      </c>
      <c r="U96" s="13"/>
      <c r="V96" s="13">
        <v>0</v>
      </c>
      <c r="W96" s="13">
        <v>0</v>
      </c>
      <c r="X96" s="13">
        <v>0</v>
      </c>
      <c r="Y96" s="32">
        <v>45280</v>
      </c>
      <c r="AD96" s="32">
        <v>46539</v>
      </c>
      <c r="BY96" s="14" t="s">
        <v>353</v>
      </c>
      <c r="BZ96" s="14" t="s">
        <v>341</v>
      </c>
      <c r="CA96" s="15" t="s">
        <v>347</v>
      </c>
      <c r="CB96" s="15" t="s">
        <v>343</v>
      </c>
    </row>
    <row r="97" spans="1:80" x14ac:dyDescent="0.3">
      <c r="A97" s="3">
        <v>96</v>
      </c>
      <c r="D97" s="3" t="s">
        <v>11</v>
      </c>
      <c r="E97" s="5" t="s">
        <v>164</v>
      </c>
      <c r="F97" s="5" t="s">
        <v>165</v>
      </c>
      <c r="G97" s="5" t="s">
        <v>166</v>
      </c>
      <c r="H97" s="5" t="s">
        <v>167</v>
      </c>
      <c r="K97" s="12">
        <v>970935</v>
      </c>
      <c r="L97" s="12">
        <v>970935</v>
      </c>
      <c r="M97" s="12">
        <v>492505.36</v>
      </c>
      <c r="N97" s="12"/>
      <c r="O97" s="12">
        <v>97136.24</v>
      </c>
      <c r="P97" s="12">
        <v>273651.61</v>
      </c>
      <c r="Q97" s="12">
        <v>97110.49</v>
      </c>
      <c r="R97" s="13">
        <v>0</v>
      </c>
      <c r="S97" s="13">
        <v>0</v>
      </c>
      <c r="T97" s="13">
        <v>2010</v>
      </c>
      <c r="U97" s="13"/>
      <c r="V97" s="13">
        <v>0</v>
      </c>
      <c r="W97" s="13">
        <v>0</v>
      </c>
      <c r="X97" s="13">
        <v>0</v>
      </c>
      <c r="Y97" s="32">
        <v>45645</v>
      </c>
      <c r="AD97" s="32">
        <v>46905</v>
      </c>
      <c r="BY97" s="14" t="s">
        <v>353</v>
      </c>
      <c r="BZ97" s="14" t="s">
        <v>341</v>
      </c>
      <c r="CA97" s="15" t="s">
        <v>347</v>
      </c>
      <c r="CB97" s="15" t="s">
        <v>350</v>
      </c>
    </row>
    <row r="98" spans="1:80" x14ac:dyDescent="0.3">
      <c r="A98" s="3">
        <v>97</v>
      </c>
      <c r="B98" s="5">
        <v>9</v>
      </c>
      <c r="C98" s="5" t="s">
        <v>168</v>
      </c>
      <c r="D98" s="3" t="s">
        <v>11</v>
      </c>
      <c r="E98" s="5" t="s">
        <v>164</v>
      </c>
      <c r="F98" s="5" t="s">
        <v>165</v>
      </c>
      <c r="G98" s="5" t="s">
        <v>169</v>
      </c>
      <c r="H98" s="5" t="s">
        <v>33</v>
      </c>
      <c r="K98" s="12">
        <v>999310.79</v>
      </c>
      <c r="L98" s="12">
        <v>942562.56</v>
      </c>
      <c r="M98" s="12">
        <v>569569.96</v>
      </c>
      <c r="N98" s="12"/>
      <c r="O98" s="12">
        <v>35130.840000000004</v>
      </c>
      <c r="P98" s="12">
        <v>243289.61</v>
      </c>
      <c r="Q98" s="12">
        <v>94572.15</v>
      </c>
      <c r="R98" s="13">
        <v>0</v>
      </c>
      <c r="S98" s="13">
        <v>0</v>
      </c>
      <c r="T98" s="13">
        <v>2254</v>
      </c>
      <c r="U98" s="13"/>
      <c r="V98" s="13">
        <v>0</v>
      </c>
      <c r="W98" s="13">
        <v>0</v>
      </c>
      <c r="X98" s="13">
        <v>0</v>
      </c>
      <c r="Y98" s="32">
        <v>43997</v>
      </c>
      <c r="Z98" s="4"/>
      <c r="AA98" s="42"/>
      <c r="AB98" s="4"/>
      <c r="AD98" s="32">
        <v>56766</v>
      </c>
      <c r="BY98" s="14" t="s">
        <v>340</v>
      </c>
      <c r="BZ98" s="14" t="s">
        <v>341</v>
      </c>
      <c r="CA98" s="15" t="s">
        <v>355</v>
      </c>
      <c r="CB98" s="15" t="s">
        <v>343</v>
      </c>
    </row>
    <row r="99" spans="1:80" x14ac:dyDescent="0.3">
      <c r="A99" s="3">
        <v>98</v>
      </c>
      <c r="D99" s="3" t="s">
        <v>11</v>
      </c>
      <c r="E99" s="5" t="s">
        <v>164</v>
      </c>
      <c r="F99" s="5" t="s">
        <v>165</v>
      </c>
      <c r="G99" s="5" t="s">
        <v>169</v>
      </c>
      <c r="H99" s="5" t="s">
        <v>34</v>
      </c>
      <c r="K99" s="12">
        <v>198388</v>
      </c>
      <c r="L99" s="12">
        <v>198388</v>
      </c>
      <c r="M99" s="12"/>
      <c r="N99" s="12"/>
      <c r="O99" s="12"/>
      <c r="P99" s="12"/>
      <c r="Q99" s="12"/>
      <c r="R99" s="13">
        <v>0</v>
      </c>
      <c r="S99" s="13">
        <f>(L99/10000)*20</f>
        <v>396.77599999999995</v>
      </c>
      <c r="T99" s="13"/>
      <c r="U99" s="13"/>
      <c r="V99" s="13"/>
      <c r="W99" s="13"/>
      <c r="X99" s="13"/>
      <c r="Y99" s="32">
        <v>43997</v>
      </c>
      <c r="Z99" s="4"/>
      <c r="AA99" s="42"/>
      <c r="AB99" s="4"/>
      <c r="AD99" s="32">
        <v>56766</v>
      </c>
      <c r="BY99" s="14" t="s">
        <v>340</v>
      </c>
      <c r="BZ99" s="14" t="s">
        <v>341</v>
      </c>
      <c r="CA99" s="15" t="s">
        <v>355</v>
      </c>
      <c r="CB99" s="15" t="s">
        <v>343</v>
      </c>
    </row>
    <row r="100" spans="1:80" x14ac:dyDescent="0.3">
      <c r="A100" s="3">
        <v>99</v>
      </c>
      <c r="B100" s="5">
        <v>9</v>
      </c>
      <c r="C100" s="5" t="s">
        <v>170</v>
      </c>
      <c r="D100" s="3" t="s">
        <v>11</v>
      </c>
      <c r="E100" s="5" t="s">
        <v>164</v>
      </c>
      <c r="F100" s="5" t="s">
        <v>165</v>
      </c>
      <c r="G100" s="5" t="s">
        <v>171</v>
      </c>
      <c r="H100" s="5" t="s">
        <v>33</v>
      </c>
      <c r="K100" s="12">
        <v>999104.05</v>
      </c>
      <c r="L100" s="12">
        <v>999104.05</v>
      </c>
      <c r="M100" s="12">
        <v>541438.02</v>
      </c>
      <c r="N100" s="12"/>
      <c r="O100" s="12">
        <v>49971.33</v>
      </c>
      <c r="P100" s="12">
        <v>305868.5</v>
      </c>
      <c r="Q100" s="12">
        <v>99936.22</v>
      </c>
      <c r="R100" s="13">
        <v>0</v>
      </c>
      <c r="S100" s="13">
        <v>0</v>
      </c>
      <c r="T100" s="13">
        <v>2182</v>
      </c>
      <c r="U100" s="13"/>
      <c r="V100" s="13">
        <v>0</v>
      </c>
      <c r="W100" s="13">
        <v>0</v>
      </c>
      <c r="X100" s="13">
        <v>0</v>
      </c>
      <c r="Y100" s="32">
        <v>45680</v>
      </c>
      <c r="AD100" s="32">
        <v>46539</v>
      </c>
      <c r="BY100" s="14" t="s">
        <v>353</v>
      </c>
      <c r="BZ100" s="14" t="s">
        <v>341</v>
      </c>
      <c r="CA100" s="15" t="s">
        <v>347</v>
      </c>
      <c r="CB100" s="15" t="s">
        <v>343</v>
      </c>
    </row>
    <row r="101" spans="1:80" x14ac:dyDescent="0.3">
      <c r="A101" s="3">
        <v>100</v>
      </c>
      <c r="D101" s="3" t="s">
        <v>11</v>
      </c>
      <c r="E101" s="5" t="s">
        <v>164</v>
      </c>
      <c r="F101" s="5" t="s">
        <v>165</v>
      </c>
      <c r="G101" s="5" t="s">
        <v>171</v>
      </c>
      <c r="H101" s="5" t="s">
        <v>172</v>
      </c>
      <c r="K101" s="15">
        <v>3163050.9000000004</v>
      </c>
      <c r="L101" s="15">
        <v>2086168.31</v>
      </c>
      <c r="M101" s="15"/>
      <c r="N101" s="15"/>
      <c r="O101" s="15"/>
      <c r="P101" s="15"/>
      <c r="Q101" s="15"/>
      <c r="R101" s="10">
        <f>(L101/10000)*15</f>
        <v>3129.2524650000005</v>
      </c>
      <c r="S101" s="16"/>
      <c r="T101" s="16"/>
      <c r="U101" s="16"/>
      <c r="V101" s="16"/>
      <c r="W101" s="16"/>
      <c r="X101" s="16"/>
      <c r="Y101" s="32"/>
      <c r="AD101" s="32"/>
      <c r="BY101" s="14"/>
      <c r="BZ101" s="14"/>
      <c r="CA101" s="15"/>
      <c r="CB101" s="15" t="s">
        <v>344</v>
      </c>
    </row>
    <row r="102" spans="1:80" x14ac:dyDescent="0.3">
      <c r="A102" s="3">
        <v>101</v>
      </c>
      <c r="B102" s="5">
        <v>45</v>
      </c>
      <c r="C102" s="5" t="s">
        <v>173</v>
      </c>
      <c r="D102" s="3" t="s">
        <v>11</v>
      </c>
      <c r="E102" s="5" t="s">
        <v>164</v>
      </c>
      <c r="F102" s="5" t="s">
        <v>165</v>
      </c>
      <c r="G102" s="5" t="s">
        <v>171</v>
      </c>
      <c r="H102" s="5" t="s">
        <v>64</v>
      </c>
      <c r="K102" s="9">
        <v>980000</v>
      </c>
      <c r="L102" s="9">
        <v>980000</v>
      </c>
      <c r="M102" s="9">
        <v>523307.28</v>
      </c>
      <c r="N102" s="9">
        <v>0</v>
      </c>
      <c r="O102" s="9">
        <v>99882.25</v>
      </c>
      <c r="P102" s="9">
        <v>258605.69</v>
      </c>
      <c r="Q102" s="9">
        <v>98204.78</v>
      </c>
      <c r="R102" s="10">
        <v>0</v>
      </c>
      <c r="S102" s="10">
        <v>0</v>
      </c>
      <c r="T102" s="10">
        <v>1409</v>
      </c>
      <c r="U102" s="10">
        <v>46</v>
      </c>
      <c r="V102" s="10">
        <v>0</v>
      </c>
      <c r="W102" s="10">
        <v>0</v>
      </c>
      <c r="X102" s="16">
        <v>0</v>
      </c>
      <c r="Y102" s="37">
        <v>41409</v>
      </c>
      <c r="Z102" s="32">
        <v>42094</v>
      </c>
      <c r="AA102" s="39">
        <v>42163</v>
      </c>
      <c r="AB102" s="36">
        <v>42156</v>
      </c>
      <c r="AC102" s="32">
        <v>43067</v>
      </c>
      <c r="AD102" s="39"/>
      <c r="AO102" s="52">
        <v>0</v>
      </c>
      <c r="AP102" s="30">
        <v>0</v>
      </c>
      <c r="AQ102" s="3" t="s">
        <v>312</v>
      </c>
      <c r="AR102" s="3"/>
      <c r="AS102" s="3"/>
      <c r="AT102" s="30">
        <v>0</v>
      </c>
      <c r="AU102" s="30">
        <v>0</v>
      </c>
      <c r="AV102" s="30">
        <v>0</v>
      </c>
      <c r="BY102" s="14" t="s">
        <v>345</v>
      </c>
      <c r="BZ102" s="14" t="s">
        <v>345</v>
      </c>
      <c r="CA102" s="14" t="s">
        <v>345</v>
      </c>
      <c r="CB102" s="15" t="s">
        <v>346</v>
      </c>
    </row>
    <row r="103" spans="1:80" x14ac:dyDescent="0.3">
      <c r="A103" s="3">
        <v>102</v>
      </c>
      <c r="B103" s="5">
        <v>69</v>
      </c>
      <c r="C103" s="5" t="s">
        <v>174</v>
      </c>
      <c r="D103" s="3" t="s">
        <v>11</v>
      </c>
      <c r="E103" s="5" t="s">
        <v>164</v>
      </c>
      <c r="F103" s="5" t="s">
        <v>165</v>
      </c>
      <c r="G103" s="5" t="s">
        <v>171</v>
      </c>
      <c r="H103" s="5" t="s">
        <v>40</v>
      </c>
      <c r="K103" s="9">
        <v>980000</v>
      </c>
      <c r="L103" s="9">
        <v>980000</v>
      </c>
      <c r="M103" s="9">
        <v>514282.9</v>
      </c>
      <c r="N103" s="9">
        <v>0</v>
      </c>
      <c r="O103" s="9">
        <v>98038.720000000001</v>
      </c>
      <c r="P103" s="9">
        <v>268328.23</v>
      </c>
      <c r="Q103" s="9">
        <v>99350.15</v>
      </c>
      <c r="R103" s="10">
        <v>0</v>
      </c>
      <c r="S103" s="10">
        <v>0</v>
      </c>
      <c r="T103" s="10">
        <v>1389</v>
      </c>
      <c r="U103" s="10">
        <v>39</v>
      </c>
      <c r="V103" s="10">
        <v>0</v>
      </c>
      <c r="W103" s="10">
        <v>0</v>
      </c>
      <c r="X103" s="16">
        <v>0</v>
      </c>
      <c r="Y103" s="37">
        <v>41409</v>
      </c>
      <c r="Z103" s="32">
        <v>42810</v>
      </c>
      <c r="AA103" s="39">
        <v>43160</v>
      </c>
      <c r="AB103" s="36">
        <v>43344</v>
      </c>
      <c r="AC103" s="32">
        <v>45987</v>
      </c>
      <c r="AD103"/>
      <c r="AO103" s="52">
        <v>0</v>
      </c>
      <c r="AP103" s="30">
        <v>0</v>
      </c>
      <c r="AQ103" s="3" t="s">
        <v>312</v>
      </c>
      <c r="AR103" s="3"/>
      <c r="AS103" s="3"/>
      <c r="AT103" s="30">
        <v>0</v>
      </c>
      <c r="AU103" s="30">
        <v>0</v>
      </c>
      <c r="AV103" s="30">
        <v>0</v>
      </c>
      <c r="BY103" s="14" t="s">
        <v>345</v>
      </c>
      <c r="BZ103" s="14" t="s">
        <v>341</v>
      </c>
      <c r="CA103" s="15" t="s">
        <v>351</v>
      </c>
      <c r="CB103" s="15" t="s">
        <v>346</v>
      </c>
    </row>
    <row r="104" spans="1:80" x14ac:dyDescent="0.3">
      <c r="A104" s="3">
        <v>103</v>
      </c>
      <c r="B104" s="5">
        <v>118</v>
      </c>
      <c r="C104" s="5" t="s">
        <v>175</v>
      </c>
      <c r="D104" s="3" t="s">
        <v>11</v>
      </c>
      <c r="E104" s="5" t="s">
        <v>164</v>
      </c>
      <c r="F104" s="5" t="s">
        <v>165</v>
      </c>
      <c r="G104" s="5" t="s">
        <v>171</v>
      </c>
      <c r="H104" s="5" t="s">
        <v>176</v>
      </c>
      <c r="K104" s="9">
        <v>996017</v>
      </c>
      <c r="L104" s="15">
        <v>996017</v>
      </c>
      <c r="M104" s="15">
        <v>514905.18</v>
      </c>
      <c r="N104" s="15">
        <v>0</v>
      </c>
      <c r="O104" s="15">
        <v>99602.91</v>
      </c>
      <c r="P104" s="15">
        <v>281906.27</v>
      </c>
      <c r="Q104" s="15">
        <v>99602.64</v>
      </c>
      <c r="R104" s="10">
        <v>0</v>
      </c>
      <c r="S104" s="10">
        <v>0</v>
      </c>
      <c r="T104" s="10">
        <v>1390</v>
      </c>
      <c r="U104" s="10">
        <v>47</v>
      </c>
      <c r="V104" s="10">
        <v>0</v>
      </c>
      <c r="W104" s="10">
        <v>0</v>
      </c>
      <c r="X104" s="16">
        <v>0</v>
      </c>
      <c r="Y104" s="37">
        <v>41409</v>
      </c>
      <c r="Z104" s="32">
        <v>44565</v>
      </c>
      <c r="AA104" s="39">
        <v>45457</v>
      </c>
      <c r="AB104" s="32">
        <v>45478</v>
      </c>
      <c r="AD104" s="32"/>
      <c r="AK104" s="7"/>
      <c r="AL104" s="7"/>
      <c r="AM104" s="7"/>
      <c r="AN104" s="42"/>
      <c r="AO104" s="52">
        <v>0</v>
      </c>
      <c r="AP104" s="30">
        <v>350</v>
      </c>
      <c r="AQ104" s="3" t="s">
        <v>311</v>
      </c>
      <c r="AR104" s="3"/>
      <c r="AS104" s="3"/>
      <c r="AT104" s="46">
        <v>1</v>
      </c>
      <c r="AU104" s="30">
        <v>58.6</v>
      </c>
      <c r="AV104" s="30">
        <v>19</v>
      </c>
      <c r="BY104" s="14" t="s">
        <v>340</v>
      </c>
      <c r="BZ104" s="14" t="s">
        <v>341</v>
      </c>
      <c r="CA104" s="15" t="s">
        <v>351</v>
      </c>
      <c r="CB104" s="15" t="s">
        <v>348</v>
      </c>
    </row>
    <row r="105" spans="1:80" x14ac:dyDescent="0.3">
      <c r="A105" s="3">
        <v>104</v>
      </c>
      <c r="D105" s="3" t="s">
        <v>11</v>
      </c>
      <c r="E105" s="5" t="s">
        <v>164</v>
      </c>
      <c r="F105" s="5" t="s">
        <v>165</v>
      </c>
      <c r="G105" s="5" t="s">
        <v>171</v>
      </c>
      <c r="H105" s="5" t="s">
        <v>177</v>
      </c>
      <c r="K105" s="9">
        <v>999634.84</v>
      </c>
      <c r="L105" s="15"/>
      <c r="M105" s="15"/>
      <c r="N105" s="15"/>
      <c r="O105" s="15"/>
      <c r="P105" s="15"/>
      <c r="Q105" s="15"/>
      <c r="R105" s="10">
        <f>(K105/10000)*15</f>
        <v>1499.45226</v>
      </c>
      <c r="S105" s="10"/>
      <c r="T105" s="10"/>
      <c r="U105" s="10"/>
      <c r="V105" s="10"/>
      <c r="W105" s="10"/>
      <c r="X105" s="16"/>
      <c r="Y105" s="37"/>
      <c r="Z105" s="32"/>
      <c r="AA105" s="39"/>
      <c r="AB105" s="32"/>
      <c r="AD105" s="32"/>
      <c r="BY105" s="14"/>
      <c r="BZ105" s="14"/>
      <c r="CA105" s="15"/>
      <c r="CB105" s="15" t="s">
        <v>344</v>
      </c>
    </row>
    <row r="106" spans="1:80" x14ac:dyDescent="0.3">
      <c r="A106" s="3">
        <v>105</v>
      </c>
      <c r="D106" s="3" t="s">
        <v>11</v>
      </c>
      <c r="E106" s="5" t="s">
        <v>164</v>
      </c>
      <c r="F106" s="5" t="s">
        <v>165</v>
      </c>
      <c r="G106" s="5" t="s">
        <v>171</v>
      </c>
      <c r="H106" s="5" t="s">
        <v>178</v>
      </c>
      <c r="K106" s="9">
        <v>986435.15</v>
      </c>
      <c r="L106" s="15"/>
      <c r="M106" s="15"/>
      <c r="N106" s="15"/>
      <c r="O106" s="15"/>
      <c r="P106" s="15"/>
      <c r="Q106" s="15"/>
      <c r="R106" s="10">
        <f t="shared" ref="R106:R110" si="6">(K106/10000)*15</f>
        <v>1479.6527250000001</v>
      </c>
      <c r="S106" s="10"/>
      <c r="T106" s="10"/>
      <c r="U106" s="10"/>
      <c r="V106" s="10"/>
      <c r="W106" s="10"/>
      <c r="X106" s="16"/>
      <c r="Y106" s="37"/>
      <c r="Z106" s="32"/>
      <c r="AA106" s="39"/>
      <c r="AB106" s="32"/>
      <c r="AD106" s="32"/>
      <c r="BY106" s="14"/>
      <c r="BZ106" s="14"/>
      <c r="CA106" s="15"/>
      <c r="CB106" s="15" t="s">
        <v>344</v>
      </c>
    </row>
    <row r="107" spans="1:80" x14ac:dyDescent="0.3">
      <c r="A107" s="3">
        <v>106</v>
      </c>
      <c r="D107" s="3" t="s">
        <v>11</v>
      </c>
      <c r="E107" s="5" t="s">
        <v>164</v>
      </c>
      <c r="F107" s="5" t="s">
        <v>165</v>
      </c>
      <c r="G107" s="5" t="s">
        <v>171</v>
      </c>
      <c r="H107" s="5" t="s">
        <v>179</v>
      </c>
      <c r="K107" s="9">
        <v>998538.62</v>
      </c>
      <c r="L107" s="15"/>
      <c r="M107" s="15"/>
      <c r="N107" s="15"/>
      <c r="O107" s="15"/>
      <c r="P107" s="15"/>
      <c r="Q107" s="15"/>
      <c r="R107" s="10">
        <f t="shared" si="6"/>
        <v>1497.8079300000002</v>
      </c>
      <c r="S107" s="10"/>
      <c r="T107" s="10"/>
      <c r="U107" s="10"/>
      <c r="V107" s="10"/>
      <c r="W107" s="10"/>
      <c r="X107" s="16"/>
      <c r="Y107" s="37"/>
      <c r="Z107" s="32"/>
      <c r="AA107" s="39"/>
      <c r="AB107" s="32"/>
      <c r="AD107" s="32"/>
      <c r="BY107" s="14"/>
      <c r="BZ107" s="14"/>
      <c r="CA107" s="15"/>
      <c r="CB107" s="15" t="s">
        <v>344</v>
      </c>
    </row>
    <row r="108" spans="1:80" x14ac:dyDescent="0.3">
      <c r="A108" s="3">
        <v>107</v>
      </c>
      <c r="D108" s="3" t="s">
        <v>11</v>
      </c>
      <c r="E108" s="5" t="s">
        <v>164</v>
      </c>
      <c r="F108" s="5" t="s">
        <v>165</v>
      </c>
      <c r="G108" s="5" t="s">
        <v>171</v>
      </c>
      <c r="H108" s="5" t="s">
        <v>180</v>
      </c>
      <c r="K108" s="9">
        <v>999608.67</v>
      </c>
      <c r="L108" s="15"/>
      <c r="M108" s="15"/>
      <c r="N108" s="15"/>
      <c r="O108" s="15"/>
      <c r="P108" s="15"/>
      <c r="Q108" s="15"/>
      <c r="R108" s="10">
        <f t="shared" si="6"/>
        <v>1499.4130050000001</v>
      </c>
      <c r="S108" s="10"/>
      <c r="T108" s="10"/>
      <c r="U108" s="10"/>
      <c r="V108" s="10"/>
      <c r="W108" s="10"/>
      <c r="X108" s="16"/>
      <c r="Y108" s="37"/>
      <c r="Z108" s="32"/>
      <c r="AA108" s="39"/>
      <c r="AB108" s="32"/>
      <c r="AD108" s="32"/>
      <c r="BY108" s="14"/>
      <c r="BZ108" s="14"/>
      <c r="CA108" s="15"/>
      <c r="CB108" s="15" t="s">
        <v>344</v>
      </c>
    </row>
    <row r="109" spans="1:80" x14ac:dyDescent="0.3">
      <c r="A109" s="3">
        <v>108</v>
      </c>
      <c r="D109" s="3" t="s">
        <v>11</v>
      </c>
      <c r="E109" s="5" t="s">
        <v>164</v>
      </c>
      <c r="F109" s="5" t="s">
        <v>165</v>
      </c>
      <c r="G109" s="5" t="s">
        <v>171</v>
      </c>
      <c r="H109" s="5" t="s">
        <v>181</v>
      </c>
      <c r="K109" s="9">
        <v>998128.33</v>
      </c>
      <c r="L109" s="15"/>
      <c r="M109" s="15"/>
      <c r="N109" s="15"/>
      <c r="O109" s="15"/>
      <c r="P109" s="15"/>
      <c r="Q109" s="15"/>
      <c r="R109" s="10">
        <f t="shared" si="6"/>
        <v>1497.192495</v>
      </c>
      <c r="S109" s="10"/>
      <c r="T109" s="10"/>
      <c r="U109" s="10"/>
      <c r="V109" s="10"/>
      <c r="W109" s="10"/>
      <c r="X109" s="16"/>
      <c r="Y109" s="37"/>
      <c r="Z109" s="32"/>
      <c r="AA109" s="39"/>
      <c r="AB109" s="32"/>
      <c r="AD109" s="32"/>
      <c r="BY109" s="14"/>
      <c r="BZ109" s="14"/>
      <c r="CA109" s="15"/>
      <c r="CB109" s="15" t="s">
        <v>344</v>
      </c>
    </row>
    <row r="110" spans="1:80" x14ac:dyDescent="0.3">
      <c r="A110" s="3">
        <v>109</v>
      </c>
      <c r="D110" s="3" t="s">
        <v>11</v>
      </c>
      <c r="E110" s="5" t="s">
        <v>164</v>
      </c>
      <c r="F110" s="5" t="s">
        <v>165</v>
      </c>
      <c r="G110" s="5" t="s">
        <v>171</v>
      </c>
      <c r="H110" s="5" t="s">
        <v>182</v>
      </c>
      <c r="K110" s="9">
        <v>972253.28</v>
      </c>
      <c r="L110" s="15"/>
      <c r="M110" s="15"/>
      <c r="N110" s="15"/>
      <c r="O110" s="15"/>
      <c r="P110" s="15"/>
      <c r="Q110" s="15"/>
      <c r="R110" s="10">
        <f t="shared" si="6"/>
        <v>1458.3799200000001</v>
      </c>
      <c r="S110" s="10"/>
      <c r="T110" s="10"/>
      <c r="U110" s="10"/>
      <c r="V110" s="10"/>
      <c r="W110" s="10"/>
      <c r="X110" s="16"/>
      <c r="Y110" s="37"/>
      <c r="Z110" s="32"/>
      <c r="AA110" s="39"/>
      <c r="AB110" s="32"/>
      <c r="AD110" s="32"/>
      <c r="BY110" s="14"/>
      <c r="BZ110" s="14"/>
      <c r="CA110" s="15"/>
      <c r="CB110" s="15" t="s">
        <v>344</v>
      </c>
    </row>
    <row r="111" spans="1:80" x14ac:dyDescent="0.3">
      <c r="A111" s="3">
        <v>110</v>
      </c>
      <c r="B111" s="7">
        <v>17</v>
      </c>
      <c r="C111" s="7" t="s">
        <v>183</v>
      </c>
      <c r="D111" s="3" t="s">
        <v>11</v>
      </c>
      <c r="E111" s="5" t="s">
        <v>164</v>
      </c>
      <c r="F111" s="5" t="s">
        <v>165</v>
      </c>
      <c r="G111" s="5" t="s">
        <v>184</v>
      </c>
      <c r="H111" s="5" t="s">
        <v>33</v>
      </c>
      <c r="K111" s="9">
        <v>993810.33</v>
      </c>
      <c r="L111" s="9">
        <v>910728.21</v>
      </c>
      <c r="M111" s="9">
        <v>494792.81</v>
      </c>
      <c r="N111" s="9">
        <v>0</v>
      </c>
      <c r="O111" s="9">
        <v>45539.43</v>
      </c>
      <c r="P111" s="9">
        <v>279287.25</v>
      </c>
      <c r="Q111" s="9">
        <v>91108.72</v>
      </c>
      <c r="R111" s="10">
        <v>0</v>
      </c>
      <c r="S111" s="10">
        <v>0</v>
      </c>
      <c r="T111" s="10">
        <v>2210</v>
      </c>
      <c r="U111" s="10">
        <v>80</v>
      </c>
      <c r="V111" s="10">
        <v>2190</v>
      </c>
      <c r="W111" s="10">
        <v>84</v>
      </c>
      <c r="X111" s="16">
        <v>0</v>
      </c>
      <c r="Y111" s="32">
        <v>42088</v>
      </c>
      <c r="Z111" s="32">
        <v>42685</v>
      </c>
      <c r="AA111" s="39">
        <v>42858</v>
      </c>
      <c r="AB111" s="32">
        <v>44075</v>
      </c>
      <c r="AC111" s="32">
        <v>45266</v>
      </c>
      <c r="AD111" s="32"/>
      <c r="BY111" s="14" t="s">
        <v>340</v>
      </c>
      <c r="BZ111" s="14" t="s">
        <v>341</v>
      </c>
      <c r="CA111" s="15" t="s">
        <v>351</v>
      </c>
      <c r="CB111" s="15" t="s">
        <v>346</v>
      </c>
    </row>
    <row r="112" spans="1:80" x14ac:dyDescent="0.3">
      <c r="A112" s="3">
        <v>111</v>
      </c>
      <c r="B112" s="5">
        <v>111</v>
      </c>
      <c r="C112" s="5" t="s">
        <v>185</v>
      </c>
      <c r="D112" s="3" t="s">
        <v>11</v>
      </c>
      <c r="E112" s="5" t="s">
        <v>164</v>
      </c>
      <c r="F112" s="5" t="s">
        <v>165</v>
      </c>
      <c r="G112" s="5" t="s">
        <v>184</v>
      </c>
      <c r="H112" s="5" t="s">
        <v>34</v>
      </c>
      <c r="K112" s="9">
        <v>997480</v>
      </c>
      <c r="L112" s="9">
        <v>997480</v>
      </c>
      <c r="M112" s="9">
        <v>524756.92000000004</v>
      </c>
      <c r="N112" s="9">
        <v>0</v>
      </c>
      <c r="O112" s="9">
        <v>50355.899999999994</v>
      </c>
      <c r="P112" s="9">
        <v>322616.64</v>
      </c>
      <c r="Q112" s="9">
        <v>99750.54</v>
      </c>
      <c r="R112" s="10">
        <v>0</v>
      </c>
      <c r="S112" s="10">
        <v>0</v>
      </c>
      <c r="T112" s="10">
        <v>2453</v>
      </c>
      <c r="U112" s="10">
        <v>86</v>
      </c>
      <c r="V112" s="10">
        <v>0</v>
      </c>
      <c r="W112" s="10">
        <v>0</v>
      </c>
      <c r="X112" s="16">
        <v>0</v>
      </c>
      <c r="Y112" s="32">
        <v>42088</v>
      </c>
      <c r="Z112" s="32">
        <v>45643</v>
      </c>
      <c r="AA112" s="39">
        <v>45707</v>
      </c>
      <c r="AD112" s="32">
        <v>56766</v>
      </c>
      <c r="BY112" s="14" t="s">
        <v>353</v>
      </c>
      <c r="BZ112" s="14" t="s">
        <v>341</v>
      </c>
      <c r="CA112" s="15" t="s">
        <v>351</v>
      </c>
      <c r="CB112" s="15" t="s">
        <v>343</v>
      </c>
    </row>
    <row r="113" spans="1:80" x14ac:dyDescent="0.3">
      <c r="A113" s="3">
        <v>112</v>
      </c>
      <c r="B113" s="5">
        <v>111</v>
      </c>
      <c r="C113" s="5" t="s">
        <v>185</v>
      </c>
      <c r="D113" s="3" t="s">
        <v>11</v>
      </c>
      <c r="E113" s="5" t="s">
        <v>164</v>
      </c>
      <c r="F113" s="5" t="s">
        <v>165</v>
      </c>
      <c r="G113" s="5" t="s">
        <v>184</v>
      </c>
      <c r="H113" s="5" t="s">
        <v>186</v>
      </c>
      <c r="K113" s="25">
        <v>104644.61</v>
      </c>
      <c r="L113" s="25">
        <v>104644.61</v>
      </c>
      <c r="M113" s="25"/>
      <c r="N113" s="25"/>
      <c r="O113" s="25"/>
      <c r="P113" s="25"/>
      <c r="Q113" s="25"/>
      <c r="R113" s="26">
        <v>0</v>
      </c>
      <c r="S113" s="26">
        <v>0</v>
      </c>
      <c r="T113" s="26">
        <v>344</v>
      </c>
      <c r="U113" s="26"/>
      <c r="V113" s="27">
        <v>0</v>
      </c>
      <c r="W113" s="27">
        <v>0</v>
      </c>
      <c r="X113" s="28">
        <v>0</v>
      </c>
      <c r="Y113" s="32">
        <v>42088</v>
      </c>
      <c r="Z113" s="38">
        <v>45931</v>
      </c>
      <c r="AA113" s="43">
        <v>45931</v>
      </c>
      <c r="AD113" s="32">
        <v>56766</v>
      </c>
      <c r="BY113" s="14" t="s">
        <v>353</v>
      </c>
      <c r="BZ113" s="14" t="s">
        <v>341</v>
      </c>
      <c r="CA113" s="15" t="s">
        <v>351</v>
      </c>
      <c r="CB113" s="15" t="s">
        <v>343</v>
      </c>
    </row>
    <row r="114" spans="1:80" x14ac:dyDescent="0.3">
      <c r="A114" s="3">
        <v>113</v>
      </c>
      <c r="D114" s="3" t="s">
        <v>11</v>
      </c>
      <c r="E114" s="5" t="s">
        <v>164</v>
      </c>
      <c r="F114" s="5" t="s">
        <v>165</v>
      </c>
      <c r="G114" s="5" t="s">
        <v>184</v>
      </c>
      <c r="H114" s="5" t="s">
        <v>187</v>
      </c>
      <c r="K114" s="9">
        <v>7432.64</v>
      </c>
      <c r="L114" s="9">
        <v>7432.64</v>
      </c>
      <c r="M114" s="9"/>
      <c r="N114" s="9"/>
      <c r="O114" s="9"/>
      <c r="P114" s="9"/>
      <c r="Q114" s="9"/>
      <c r="R114" s="10">
        <v>0</v>
      </c>
      <c r="S114" s="10">
        <v>16</v>
      </c>
      <c r="T114" s="10"/>
      <c r="U114" s="10"/>
      <c r="V114" s="10">
        <v>0</v>
      </c>
      <c r="W114" s="10">
        <v>0</v>
      </c>
      <c r="X114" s="16">
        <v>0</v>
      </c>
      <c r="Y114" s="32">
        <v>42088</v>
      </c>
      <c r="Z114" s="32"/>
      <c r="AA114" s="39"/>
      <c r="AD114" s="32">
        <v>56766</v>
      </c>
      <c r="BY114" s="14" t="s">
        <v>353</v>
      </c>
      <c r="BZ114" s="14" t="s">
        <v>341</v>
      </c>
      <c r="CA114" s="15" t="s">
        <v>351</v>
      </c>
      <c r="CB114" s="15" t="s">
        <v>344</v>
      </c>
    </row>
    <row r="115" spans="1:80" x14ac:dyDescent="0.3">
      <c r="A115" s="3">
        <v>114</v>
      </c>
      <c r="D115" s="3" t="s">
        <v>11</v>
      </c>
      <c r="E115" s="5" t="s">
        <v>164</v>
      </c>
      <c r="F115" s="5" t="s">
        <v>165</v>
      </c>
      <c r="G115" s="5" t="s">
        <v>184</v>
      </c>
      <c r="H115" s="5" t="s">
        <v>188</v>
      </c>
      <c r="K115" s="15">
        <v>999839.87</v>
      </c>
      <c r="L115" s="15">
        <v>991961.96</v>
      </c>
      <c r="M115" s="15">
        <v>620333.82999999996</v>
      </c>
      <c r="N115" s="15"/>
      <c r="O115" s="15">
        <v>50929.88</v>
      </c>
      <c r="P115" s="15">
        <v>219172.57</v>
      </c>
      <c r="Q115" s="15">
        <v>100895.67999999999</v>
      </c>
      <c r="R115" s="16">
        <v>0</v>
      </c>
      <c r="S115" s="16">
        <v>2265</v>
      </c>
      <c r="T115" s="16"/>
      <c r="U115" s="16"/>
      <c r="V115" s="16">
        <v>0</v>
      </c>
      <c r="W115" s="16">
        <v>0</v>
      </c>
      <c r="X115" s="16">
        <v>0</v>
      </c>
      <c r="Y115" s="32">
        <v>43404</v>
      </c>
      <c r="AD115" s="32">
        <v>47635</v>
      </c>
      <c r="BY115" s="14" t="s">
        <v>340</v>
      </c>
      <c r="BZ115" s="14" t="s">
        <v>341</v>
      </c>
      <c r="CA115" s="15" t="s">
        <v>351</v>
      </c>
      <c r="CB115" s="15" t="s">
        <v>344</v>
      </c>
    </row>
    <row r="116" spans="1:80" x14ac:dyDescent="0.3">
      <c r="A116" s="3">
        <v>115</v>
      </c>
      <c r="B116" s="5">
        <v>9</v>
      </c>
      <c r="C116" s="5" t="s">
        <v>189</v>
      </c>
      <c r="D116" s="3" t="s">
        <v>11</v>
      </c>
      <c r="E116" s="5" t="s">
        <v>164</v>
      </c>
      <c r="F116" s="5" t="s">
        <v>165</v>
      </c>
      <c r="G116" s="5" t="s">
        <v>190</v>
      </c>
      <c r="H116" s="5" t="s">
        <v>39</v>
      </c>
      <c r="K116" s="15">
        <v>831667.38</v>
      </c>
      <c r="L116" s="15">
        <v>831667.38</v>
      </c>
      <c r="M116" s="15">
        <v>481400.36</v>
      </c>
      <c r="N116" s="15"/>
      <c r="O116" s="15">
        <v>43861.7</v>
      </c>
      <c r="P116" s="15">
        <v>222031.09</v>
      </c>
      <c r="Q116" s="15">
        <v>84374.23</v>
      </c>
      <c r="R116" s="16">
        <v>0</v>
      </c>
      <c r="S116" s="16">
        <v>0</v>
      </c>
      <c r="T116" s="16">
        <v>2298</v>
      </c>
      <c r="U116" s="16">
        <v>51</v>
      </c>
      <c r="V116" s="16">
        <v>0</v>
      </c>
      <c r="W116" s="16">
        <v>0</v>
      </c>
      <c r="X116" s="16">
        <v>0</v>
      </c>
      <c r="Y116" s="32">
        <v>45559</v>
      </c>
      <c r="Z116" s="32">
        <v>45832</v>
      </c>
      <c r="AA116" s="39">
        <v>45952</v>
      </c>
      <c r="AD116" s="32">
        <v>46198</v>
      </c>
      <c r="BO116" s="9">
        <v>9847</v>
      </c>
      <c r="BP116" s="9">
        <v>17799</v>
      </c>
      <c r="BQ116" s="10">
        <v>461</v>
      </c>
      <c r="BR116" s="10">
        <v>61</v>
      </c>
      <c r="BS116" s="10">
        <v>0</v>
      </c>
      <c r="BT116" s="10">
        <v>9</v>
      </c>
      <c r="BU116" s="10">
        <v>41</v>
      </c>
      <c r="BV116" s="10">
        <v>1</v>
      </c>
      <c r="BW116" s="10">
        <v>0</v>
      </c>
      <c r="BY116" s="14" t="s">
        <v>340</v>
      </c>
      <c r="BZ116" s="14" t="s">
        <v>341</v>
      </c>
      <c r="CA116" s="15" t="s">
        <v>342</v>
      </c>
      <c r="CB116" s="15" t="s">
        <v>343</v>
      </c>
    </row>
    <row r="117" spans="1:80" x14ac:dyDescent="0.3">
      <c r="A117" s="3">
        <v>116</v>
      </c>
      <c r="B117" s="5">
        <v>162</v>
      </c>
      <c r="C117" s="5" t="s">
        <v>299</v>
      </c>
      <c r="D117" s="3" t="s">
        <v>11</v>
      </c>
      <c r="E117" s="5" t="s">
        <v>164</v>
      </c>
      <c r="F117" s="5" t="s">
        <v>165</v>
      </c>
      <c r="G117" s="5" t="s">
        <v>190</v>
      </c>
      <c r="H117" s="5" t="s">
        <v>118</v>
      </c>
      <c r="K117" s="49">
        <f>20*10000</f>
        <v>200000</v>
      </c>
      <c r="L117" s="49"/>
      <c r="M117" s="49"/>
      <c r="N117" s="49"/>
      <c r="O117" s="49"/>
      <c r="P117" s="49"/>
      <c r="Q117" s="49"/>
      <c r="R117" s="28"/>
      <c r="S117" s="28">
        <v>540</v>
      </c>
      <c r="T117" s="28"/>
      <c r="U117" s="28"/>
      <c r="V117" s="16"/>
      <c r="W117" s="16"/>
      <c r="X117" s="16"/>
      <c r="Y117" s="32"/>
      <c r="Z117" s="32"/>
      <c r="AA117" s="39"/>
      <c r="AD117" s="32">
        <v>46905</v>
      </c>
      <c r="BO117" s="9"/>
      <c r="BP117" s="9"/>
      <c r="BQ117" s="10"/>
      <c r="BR117" s="10"/>
      <c r="BS117" s="10"/>
      <c r="BT117" s="10"/>
      <c r="BU117" s="10"/>
      <c r="BV117" s="10"/>
      <c r="BW117" s="10"/>
      <c r="BY117" s="14"/>
      <c r="BZ117" s="14"/>
      <c r="CA117" s="15"/>
      <c r="CB117" s="15"/>
    </row>
    <row r="118" spans="1:80" x14ac:dyDescent="0.3">
      <c r="A118" s="3">
        <v>117</v>
      </c>
      <c r="B118" s="5">
        <v>108</v>
      </c>
      <c r="C118" s="5" t="s">
        <v>191</v>
      </c>
      <c r="D118" s="3" t="s">
        <v>11</v>
      </c>
      <c r="E118" s="5" t="s">
        <v>164</v>
      </c>
      <c r="F118" s="5" t="s">
        <v>165</v>
      </c>
      <c r="G118" s="5" t="s">
        <v>192</v>
      </c>
      <c r="H118" s="5" t="s">
        <v>64</v>
      </c>
      <c r="K118" s="9">
        <v>543088.51</v>
      </c>
      <c r="L118" s="17">
        <f>K118</f>
        <v>543088.51</v>
      </c>
      <c r="M118" s="17">
        <v>187984.86</v>
      </c>
      <c r="N118" s="17">
        <v>96917.53</v>
      </c>
      <c r="O118" s="17">
        <v>22310.51</v>
      </c>
      <c r="P118" s="17">
        <v>121057.01</v>
      </c>
      <c r="Q118" s="17">
        <v>44617.34</v>
      </c>
      <c r="R118" s="16">
        <v>0</v>
      </c>
      <c r="S118" s="16">
        <v>0</v>
      </c>
      <c r="T118" s="10">
        <v>842</v>
      </c>
      <c r="U118" s="10">
        <v>31</v>
      </c>
      <c r="V118" s="10">
        <v>0</v>
      </c>
      <c r="W118" s="10">
        <v>0</v>
      </c>
      <c r="X118" s="16">
        <v>0</v>
      </c>
      <c r="Y118" s="32">
        <v>43796</v>
      </c>
      <c r="Z118" s="32">
        <v>44291</v>
      </c>
      <c r="AA118" s="39">
        <v>44329</v>
      </c>
      <c r="AB118" s="32">
        <v>44440</v>
      </c>
      <c r="AC118" s="32">
        <v>45446</v>
      </c>
      <c r="AD118" s="39"/>
      <c r="BY118" s="14" t="s">
        <v>340</v>
      </c>
      <c r="BZ118" s="14" t="s">
        <v>341</v>
      </c>
      <c r="CA118" s="15" t="s">
        <v>345</v>
      </c>
      <c r="CB118" s="15" t="s">
        <v>346</v>
      </c>
    </row>
    <row r="119" spans="1:80" x14ac:dyDescent="0.3">
      <c r="A119" s="3">
        <v>118</v>
      </c>
      <c r="B119" s="5">
        <v>108</v>
      </c>
      <c r="C119" s="5" t="s">
        <v>193</v>
      </c>
      <c r="D119" s="3" t="s">
        <v>11</v>
      </c>
      <c r="E119" s="5" t="s">
        <v>164</v>
      </c>
      <c r="F119" s="5" t="s">
        <v>165</v>
      </c>
      <c r="G119" s="5" t="s">
        <v>192</v>
      </c>
      <c r="H119" s="5" t="s">
        <v>40</v>
      </c>
      <c r="K119" s="9">
        <v>344685.33</v>
      </c>
      <c r="L119" s="9">
        <v>344685.33</v>
      </c>
      <c r="M119" s="9">
        <v>202789.97</v>
      </c>
      <c r="N119" s="9">
        <v>0</v>
      </c>
      <c r="O119" s="9">
        <v>17271.63</v>
      </c>
      <c r="P119" s="9">
        <v>90132.96</v>
      </c>
      <c r="Q119" s="9">
        <v>34490.769999999997</v>
      </c>
      <c r="R119" s="16">
        <v>0</v>
      </c>
      <c r="S119" s="16">
        <v>0</v>
      </c>
      <c r="T119" s="10">
        <v>712</v>
      </c>
      <c r="U119" s="10">
        <v>26</v>
      </c>
      <c r="V119" s="10">
        <v>0</v>
      </c>
      <c r="W119" s="10">
        <v>0</v>
      </c>
      <c r="X119" s="16">
        <v>0</v>
      </c>
      <c r="Y119" s="32">
        <v>43796</v>
      </c>
      <c r="Z119" s="32">
        <v>44291</v>
      </c>
      <c r="AA119" s="39">
        <v>44329</v>
      </c>
      <c r="AB119" s="32">
        <v>44440</v>
      </c>
      <c r="AC119" s="32">
        <v>45446</v>
      </c>
      <c r="AD119" s="39"/>
      <c r="BY119" s="14" t="s">
        <v>340</v>
      </c>
      <c r="BZ119" s="14" t="s">
        <v>341</v>
      </c>
      <c r="CA119" s="15" t="s">
        <v>345</v>
      </c>
      <c r="CB119" s="15" t="s">
        <v>346</v>
      </c>
    </row>
    <row r="120" spans="1:80" x14ac:dyDescent="0.3">
      <c r="A120" s="3">
        <v>119</v>
      </c>
      <c r="B120" s="5">
        <v>91</v>
      </c>
      <c r="C120" s="5" t="s">
        <v>194</v>
      </c>
      <c r="D120" s="3" t="s">
        <v>11</v>
      </c>
      <c r="E120" s="5" t="s">
        <v>164</v>
      </c>
      <c r="F120" s="5" t="s">
        <v>165</v>
      </c>
      <c r="G120" s="5" t="s">
        <v>192</v>
      </c>
      <c r="H120" s="5" t="s">
        <v>57</v>
      </c>
      <c r="K120" s="9">
        <v>669636</v>
      </c>
      <c r="L120" s="9">
        <v>665834.06999999995</v>
      </c>
      <c r="M120" s="9">
        <v>387058.18</v>
      </c>
      <c r="N120" s="9">
        <v>0</v>
      </c>
      <c r="O120" s="9">
        <v>33514.74</v>
      </c>
      <c r="P120" s="9">
        <v>178189.51</v>
      </c>
      <c r="Q120" s="9">
        <v>67071.64</v>
      </c>
      <c r="R120" s="16">
        <v>0</v>
      </c>
      <c r="S120" s="16">
        <v>0</v>
      </c>
      <c r="T120" s="10">
        <v>1367</v>
      </c>
      <c r="U120" s="10">
        <v>43</v>
      </c>
      <c r="V120" s="10">
        <v>0</v>
      </c>
      <c r="W120" s="10">
        <v>0</v>
      </c>
      <c r="X120" s="16">
        <v>0</v>
      </c>
      <c r="Y120" s="32">
        <v>44512</v>
      </c>
      <c r="Z120" s="32">
        <v>45019</v>
      </c>
      <c r="AA120" s="39">
        <v>45135</v>
      </c>
      <c r="AB120" s="32">
        <v>45165</v>
      </c>
      <c r="AC120" s="32">
        <v>46002</v>
      </c>
      <c r="AD120"/>
      <c r="BY120" s="14" t="s">
        <v>340</v>
      </c>
      <c r="BZ120" s="14" t="s">
        <v>341</v>
      </c>
      <c r="CA120" s="15" t="s">
        <v>342</v>
      </c>
      <c r="CB120" s="15" t="s">
        <v>352</v>
      </c>
    </row>
    <row r="121" spans="1:80" x14ac:dyDescent="0.3">
      <c r="A121" s="3">
        <v>120</v>
      </c>
      <c r="B121" s="5">
        <v>137</v>
      </c>
      <c r="C121" s="5" t="s">
        <v>195</v>
      </c>
      <c r="D121" s="3" t="s">
        <v>11</v>
      </c>
      <c r="E121" s="5" t="s">
        <v>164</v>
      </c>
      <c r="F121" s="5" t="s">
        <v>165</v>
      </c>
      <c r="G121" s="5" t="s">
        <v>192</v>
      </c>
      <c r="H121" s="5" t="s">
        <v>196</v>
      </c>
      <c r="K121" s="9">
        <v>526405</v>
      </c>
      <c r="L121" s="9">
        <v>500254.83</v>
      </c>
      <c r="M121" s="9">
        <v>278233.03999999998</v>
      </c>
      <c r="N121" s="9">
        <v>0</v>
      </c>
      <c r="O121" s="9">
        <v>26515.1</v>
      </c>
      <c r="P121" s="9">
        <v>142863.64000000001</v>
      </c>
      <c r="Q121" s="9">
        <v>52643.05</v>
      </c>
      <c r="R121" s="16">
        <v>0</v>
      </c>
      <c r="S121" s="16">
        <v>0</v>
      </c>
      <c r="T121" s="10">
        <v>1270</v>
      </c>
      <c r="U121" s="10">
        <v>31</v>
      </c>
      <c r="V121" s="10">
        <v>0</v>
      </c>
      <c r="W121" s="10">
        <v>0</v>
      </c>
      <c r="X121" s="16">
        <v>0</v>
      </c>
      <c r="Y121" s="32">
        <v>45078</v>
      </c>
      <c r="Z121" s="32">
        <v>45418</v>
      </c>
      <c r="AA121" s="39">
        <v>45552</v>
      </c>
      <c r="AB121" s="32">
        <v>45564</v>
      </c>
      <c r="AD121"/>
      <c r="BY121" s="14" t="s">
        <v>340</v>
      </c>
      <c r="BZ121" s="14" t="s">
        <v>341</v>
      </c>
      <c r="CA121" s="15" t="s">
        <v>342</v>
      </c>
      <c r="CB121" s="15" t="s">
        <v>348</v>
      </c>
    </row>
    <row r="122" spans="1:80" x14ac:dyDescent="0.3">
      <c r="A122" s="3">
        <v>121</v>
      </c>
      <c r="B122" s="5">
        <v>145</v>
      </c>
      <c r="C122" s="5" t="s">
        <v>197</v>
      </c>
      <c r="D122" s="3" t="s">
        <v>11</v>
      </c>
      <c r="E122" s="5" t="s">
        <v>164</v>
      </c>
      <c r="F122" s="5" t="s">
        <v>165</v>
      </c>
      <c r="G122" s="5" t="s">
        <v>192</v>
      </c>
      <c r="H122" s="5" t="s">
        <v>198</v>
      </c>
      <c r="K122" s="15">
        <v>1009825.02</v>
      </c>
      <c r="L122" s="15">
        <v>882460.2</v>
      </c>
      <c r="M122" s="15">
        <v>284415.43</v>
      </c>
      <c r="N122" s="15"/>
      <c r="O122" s="15"/>
      <c r="P122" s="15"/>
      <c r="Q122" s="15"/>
      <c r="R122" s="16">
        <v>0</v>
      </c>
      <c r="S122" s="16">
        <v>1996</v>
      </c>
      <c r="T122" s="16"/>
      <c r="U122" s="16"/>
      <c r="V122" s="16">
        <v>0</v>
      </c>
      <c r="W122" s="16">
        <v>0</v>
      </c>
      <c r="X122" s="16">
        <v>0</v>
      </c>
      <c r="Y122" s="32">
        <v>45190</v>
      </c>
      <c r="AD122" s="32">
        <v>46905</v>
      </c>
      <c r="BY122" s="14" t="s">
        <v>340</v>
      </c>
      <c r="BZ122" s="14" t="s">
        <v>341</v>
      </c>
      <c r="CA122" s="15" t="s">
        <v>342</v>
      </c>
      <c r="CB122" s="15" t="s">
        <v>344</v>
      </c>
    </row>
    <row r="123" spans="1:80" x14ac:dyDescent="0.3">
      <c r="A123" s="3">
        <v>122</v>
      </c>
      <c r="B123" s="5">
        <v>144</v>
      </c>
      <c r="C123" s="5" t="s">
        <v>199</v>
      </c>
      <c r="D123" s="3" t="s">
        <v>11</v>
      </c>
      <c r="E123" s="5" t="s">
        <v>164</v>
      </c>
      <c r="F123" s="5" t="s">
        <v>165</v>
      </c>
      <c r="G123" s="5" t="s">
        <v>192</v>
      </c>
      <c r="H123" s="5" t="s">
        <v>167</v>
      </c>
      <c r="K123" s="9">
        <v>243402</v>
      </c>
      <c r="L123" s="9">
        <v>243402</v>
      </c>
      <c r="M123" s="9">
        <v>132542.56</v>
      </c>
      <c r="N123" s="9">
        <v>0</v>
      </c>
      <c r="O123" s="9">
        <v>12177.380000000001</v>
      </c>
      <c r="P123" s="9">
        <v>74326.45</v>
      </c>
      <c r="Q123" s="9">
        <v>24355.61</v>
      </c>
      <c r="R123" s="16">
        <v>0</v>
      </c>
      <c r="S123" s="16">
        <v>0</v>
      </c>
      <c r="T123" s="10">
        <v>570</v>
      </c>
      <c r="U123" s="10">
        <v>19</v>
      </c>
      <c r="V123" s="10">
        <v>0</v>
      </c>
      <c r="W123" s="10">
        <v>0</v>
      </c>
      <c r="X123" s="16">
        <v>0</v>
      </c>
      <c r="Y123" s="32">
        <v>45328</v>
      </c>
      <c r="Z123" s="32">
        <v>45418</v>
      </c>
      <c r="AA123" s="39">
        <v>45545</v>
      </c>
      <c r="AB123" s="32">
        <v>45564</v>
      </c>
      <c r="AD123"/>
      <c r="BY123" s="14" t="s">
        <v>340</v>
      </c>
      <c r="BZ123" s="14" t="s">
        <v>341</v>
      </c>
      <c r="CA123" s="15" t="s">
        <v>342</v>
      </c>
      <c r="CB123" s="15" t="s">
        <v>348</v>
      </c>
    </row>
    <row r="124" spans="1:80" x14ac:dyDescent="0.3">
      <c r="A124" s="3">
        <v>123</v>
      </c>
      <c r="B124" s="5">
        <v>150</v>
      </c>
      <c r="C124" s="5" t="s">
        <v>200</v>
      </c>
      <c r="D124" s="3" t="s">
        <v>11</v>
      </c>
      <c r="E124" s="5" t="s">
        <v>164</v>
      </c>
      <c r="F124" s="5" t="s">
        <v>165</v>
      </c>
      <c r="G124" s="5" t="s">
        <v>192</v>
      </c>
      <c r="H124" s="5" t="s">
        <v>201</v>
      </c>
      <c r="K124" s="9">
        <v>197943</v>
      </c>
      <c r="L124" s="9">
        <v>175779.06</v>
      </c>
      <c r="M124" s="9">
        <v>93596.81</v>
      </c>
      <c r="N124" s="9">
        <v>0</v>
      </c>
      <c r="O124" s="9">
        <v>9298.7099999999991</v>
      </c>
      <c r="P124" s="9">
        <v>52488.959999999999</v>
      </c>
      <c r="Q124" s="9">
        <v>19794.580000000002</v>
      </c>
      <c r="R124" s="16">
        <v>0</v>
      </c>
      <c r="S124" s="16">
        <v>0</v>
      </c>
      <c r="T124" s="10">
        <v>437</v>
      </c>
      <c r="U124" s="10">
        <v>17</v>
      </c>
      <c r="V124" s="10">
        <v>0</v>
      </c>
      <c r="W124" s="10">
        <v>0</v>
      </c>
      <c r="X124" s="16">
        <v>0</v>
      </c>
      <c r="Y124" s="32">
        <v>45274</v>
      </c>
      <c r="Z124" s="32">
        <v>45644</v>
      </c>
      <c r="AA124" s="39">
        <v>46020</v>
      </c>
      <c r="AD124" s="32">
        <v>46174</v>
      </c>
      <c r="BO124" s="9">
        <v>5765.4</v>
      </c>
      <c r="BP124" s="9">
        <v>4601.3</v>
      </c>
      <c r="BQ124" s="10">
        <v>127</v>
      </c>
      <c r="BR124" s="10">
        <v>9</v>
      </c>
      <c r="BS124" s="10">
        <v>0</v>
      </c>
      <c r="BT124" s="10">
        <v>1</v>
      </c>
      <c r="BU124" s="10">
        <v>4</v>
      </c>
      <c r="BV124" s="10">
        <v>4</v>
      </c>
      <c r="BW124" s="10">
        <v>0</v>
      </c>
      <c r="BY124" s="14" t="s">
        <v>353</v>
      </c>
      <c r="BZ124" s="14" t="s">
        <v>341</v>
      </c>
      <c r="CA124" s="15" t="s">
        <v>342</v>
      </c>
      <c r="CB124" s="15" t="s">
        <v>348</v>
      </c>
    </row>
    <row r="125" spans="1:80" x14ac:dyDescent="0.3">
      <c r="A125" s="3">
        <v>124</v>
      </c>
      <c r="D125" s="3" t="s">
        <v>11</v>
      </c>
      <c r="E125" s="5" t="s">
        <v>164</v>
      </c>
      <c r="F125" s="5" t="s">
        <v>165</v>
      </c>
      <c r="G125" s="5" t="s">
        <v>192</v>
      </c>
      <c r="H125" s="5" t="s">
        <v>202</v>
      </c>
      <c r="K125" s="9">
        <v>2815478.89</v>
      </c>
      <c r="L125" s="9"/>
      <c r="M125" s="9"/>
      <c r="N125" s="9"/>
      <c r="O125" s="9"/>
      <c r="P125" s="9"/>
      <c r="Q125" s="9"/>
      <c r="R125" s="16">
        <f>(K125/10000)*20</f>
        <v>5630.9577799999997</v>
      </c>
      <c r="S125" s="16">
        <v>0</v>
      </c>
      <c r="T125" s="10">
        <v>0</v>
      </c>
      <c r="U125" s="10">
        <v>0</v>
      </c>
      <c r="V125" s="10">
        <v>0</v>
      </c>
      <c r="W125" s="10">
        <v>0</v>
      </c>
      <c r="X125" s="16">
        <v>0</v>
      </c>
      <c r="Y125" s="32"/>
      <c r="Z125" s="32"/>
      <c r="AA125" s="42"/>
      <c r="AD125" s="32"/>
      <c r="BO125" s="9"/>
      <c r="BP125" s="9"/>
      <c r="BY125" s="14"/>
      <c r="BZ125" s="14"/>
      <c r="CA125" s="15"/>
      <c r="CB125" s="15" t="s">
        <v>344</v>
      </c>
    </row>
    <row r="126" spans="1:80" x14ac:dyDescent="0.3">
      <c r="A126" s="3">
        <v>125</v>
      </c>
      <c r="B126" s="5">
        <v>16</v>
      </c>
      <c r="C126" s="5" t="s">
        <v>203</v>
      </c>
      <c r="D126" s="3" t="s">
        <v>11</v>
      </c>
      <c r="E126" s="5" t="s">
        <v>164</v>
      </c>
      <c r="F126" s="5" t="s">
        <v>165</v>
      </c>
      <c r="G126" s="5" t="s">
        <v>204</v>
      </c>
      <c r="H126" s="5" t="s">
        <v>53</v>
      </c>
      <c r="K126" s="9">
        <v>875350</v>
      </c>
      <c r="L126" s="9">
        <v>832465.9</v>
      </c>
      <c r="M126" s="9">
        <v>504712.41</v>
      </c>
      <c r="N126" s="9">
        <v>0</v>
      </c>
      <c r="O126" s="9">
        <v>63943.129999999976</v>
      </c>
      <c r="P126" s="9">
        <v>196229.79</v>
      </c>
      <c r="Q126" s="9">
        <v>67580.570000000007</v>
      </c>
      <c r="R126" s="16">
        <v>0</v>
      </c>
      <c r="S126" s="16">
        <v>0</v>
      </c>
      <c r="T126" s="10">
        <v>1717</v>
      </c>
      <c r="U126" s="10">
        <v>60</v>
      </c>
      <c r="V126" s="10">
        <v>0</v>
      </c>
      <c r="W126" s="10">
        <v>0</v>
      </c>
      <c r="X126" s="16">
        <v>0</v>
      </c>
      <c r="Y126" s="32">
        <v>42121</v>
      </c>
      <c r="Z126" s="32">
        <v>42513</v>
      </c>
      <c r="AA126" s="39">
        <v>42565</v>
      </c>
      <c r="AB126" s="32">
        <v>44013</v>
      </c>
      <c r="AC126" s="32">
        <v>45261</v>
      </c>
      <c r="AD126" s="39"/>
      <c r="BY126" s="14" t="s">
        <v>345</v>
      </c>
      <c r="BZ126" s="14" t="s">
        <v>345</v>
      </c>
      <c r="CA126" s="15" t="s">
        <v>345</v>
      </c>
      <c r="CB126" s="15" t="s">
        <v>346</v>
      </c>
    </row>
    <row r="127" spans="1:80" x14ac:dyDescent="0.3">
      <c r="A127" s="3">
        <v>126</v>
      </c>
      <c r="B127" s="5">
        <v>107</v>
      </c>
      <c r="C127" s="5" t="s">
        <v>205</v>
      </c>
      <c r="D127" s="3" t="s">
        <v>11</v>
      </c>
      <c r="E127" s="5" t="s">
        <v>206</v>
      </c>
      <c r="F127" s="5" t="s">
        <v>207</v>
      </c>
      <c r="G127" s="5" t="s">
        <v>208</v>
      </c>
      <c r="H127" s="5" t="s">
        <v>39</v>
      </c>
      <c r="K127" s="9">
        <v>963673.92</v>
      </c>
      <c r="L127" s="9">
        <v>963673.92</v>
      </c>
      <c r="M127" s="9">
        <v>623804.31000000006</v>
      </c>
      <c r="N127" s="9">
        <v>0</v>
      </c>
      <c r="O127" s="9">
        <v>48636.700000000004</v>
      </c>
      <c r="P127" s="9">
        <v>242755.37</v>
      </c>
      <c r="Q127" s="9">
        <v>48477.54</v>
      </c>
      <c r="R127" s="16">
        <v>0</v>
      </c>
      <c r="S127" s="16">
        <v>0</v>
      </c>
      <c r="T127" s="10">
        <v>2370</v>
      </c>
      <c r="U127" s="10">
        <v>81</v>
      </c>
      <c r="V127" s="10">
        <v>0</v>
      </c>
      <c r="W127" s="10">
        <v>0</v>
      </c>
      <c r="X127" s="16">
        <v>0</v>
      </c>
      <c r="Y127" s="32">
        <v>44251</v>
      </c>
      <c r="Z127" s="32">
        <v>44938</v>
      </c>
      <c r="AA127" s="39">
        <v>45002</v>
      </c>
      <c r="AB127" s="36">
        <v>45108</v>
      </c>
      <c r="AD127"/>
      <c r="BY127" s="14" t="s">
        <v>340</v>
      </c>
      <c r="BZ127" s="15" t="s">
        <v>355</v>
      </c>
      <c r="CA127" s="15" t="s">
        <v>355</v>
      </c>
      <c r="CB127" s="15" t="s">
        <v>348</v>
      </c>
    </row>
    <row r="128" spans="1:80" x14ac:dyDescent="0.3">
      <c r="A128" s="3">
        <v>127</v>
      </c>
      <c r="D128" s="3" t="s">
        <v>11</v>
      </c>
      <c r="E128" s="5" t="s">
        <v>206</v>
      </c>
      <c r="F128" s="5" t="s">
        <v>207</v>
      </c>
      <c r="G128" s="5" t="s">
        <v>208</v>
      </c>
      <c r="H128" s="5" t="s">
        <v>40</v>
      </c>
      <c r="K128" s="15">
        <v>442644.22</v>
      </c>
      <c r="L128" s="15">
        <v>442644.22</v>
      </c>
      <c r="M128" s="15">
        <v>279072.40000000002</v>
      </c>
      <c r="N128" s="15">
        <v>0</v>
      </c>
      <c r="O128" s="15">
        <v>24086.6</v>
      </c>
      <c r="P128" s="15">
        <v>116882.57</v>
      </c>
      <c r="Q128" s="15">
        <v>22602.65</v>
      </c>
      <c r="R128" s="16">
        <v>0</v>
      </c>
      <c r="S128" s="16">
        <v>0</v>
      </c>
      <c r="T128" s="16">
        <v>1149</v>
      </c>
      <c r="U128" s="16">
        <v>40</v>
      </c>
      <c r="V128" s="10">
        <v>0</v>
      </c>
      <c r="W128" s="10">
        <v>0</v>
      </c>
      <c r="X128" s="16">
        <v>0</v>
      </c>
      <c r="Y128" s="32">
        <v>45743</v>
      </c>
      <c r="Z128" s="32">
        <v>46014</v>
      </c>
      <c r="AA128" s="39">
        <v>46073</v>
      </c>
      <c r="AD128" s="32">
        <v>46174</v>
      </c>
      <c r="BY128" s="14" t="s">
        <v>356</v>
      </c>
      <c r="BZ128" s="15" t="s">
        <v>355</v>
      </c>
      <c r="CA128" s="15" t="s">
        <v>355</v>
      </c>
      <c r="CB128" s="15" t="s">
        <v>343</v>
      </c>
    </row>
    <row r="129" spans="1:80" x14ac:dyDescent="0.3">
      <c r="A129" s="3">
        <v>128</v>
      </c>
      <c r="D129" s="3" t="s">
        <v>11</v>
      </c>
      <c r="E129" s="5" t="s">
        <v>206</v>
      </c>
      <c r="F129" s="5" t="s">
        <v>207</v>
      </c>
      <c r="G129" s="5" t="s">
        <v>208</v>
      </c>
      <c r="H129" s="5" t="s">
        <v>176</v>
      </c>
      <c r="K129" s="15">
        <v>968585</v>
      </c>
      <c r="L129" s="15"/>
      <c r="M129" s="15"/>
      <c r="N129" s="15"/>
      <c r="O129" s="15"/>
      <c r="P129" s="15"/>
      <c r="Q129" s="15"/>
      <c r="R129" s="16">
        <v>0</v>
      </c>
      <c r="S129" s="16">
        <v>1818</v>
      </c>
      <c r="T129" s="16"/>
      <c r="U129" s="16"/>
      <c r="V129" s="16">
        <v>0</v>
      </c>
      <c r="W129" s="16">
        <v>0</v>
      </c>
      <c r="X129" s="16">
        <v>0</v>
      </c>
      <c r="Y129" s="32">
        <v>44900</v>
      </c>
      <c r="AD129" s="32">
        <v>47270</v>
      </c>
      <c r="BY129" s="14" t="s">
        <v>356</v>
      </c>
      <c r="BZ129" s="15" t="s">
        <v>355</v>
      </c>
      <c r="CA129" s="15" t="s">
        <v>355</v>
      </c>
      <c r="CB129" s="15" t="s">
        <v>344</v>
      </c>
    </row>
    <row r="130" spans="1:80" x14ac:dyDescent="0.3">
      <c r="A130" s="3">
        <v>129</v>
      </c>
      <c r="D130" s="3" t="s">
        <v>11</v>
      </c>
      <c r="E130" s="5" t="s">
        <v>206</v>
      </c>
      <c r="F130" s="5" t="s">
        <v>207</v>
      </c>
      <c r="G130" s="5" t="s">
        <v>208</v>
      </c>
      <c r="H130" s="5" t="s">
        <v>209</v>
      </c>
      <c r="K130" s="15">
        <v>54611.29</v>
      </c>
      <c r="L130" s="15"/>
      <c r="M130" s="15"/>
      <c r="N130" s="15"/>
      <c r="O130" s="15"/>
      <c r="P130" s="15"/>
      <c r="Q130" s="15"/>
      <c r="R130" s="16">
        <v>0</v>
      </c>
      <c r="S130" s="16">
        <v>1</v>
      </c>
      <c r="T130" s="16"/>
      <c r="U130" s="16"/>
      <c r="V130" s="10">
        <v>0</v>
      </c>
      <c r="W130" s="10">
        <v>0</v>
      </c>
      <c r="X130" s="16">
        <v>0</v>
      </c>
      <c r="Y130" s="32">
        <v>45672</v>
      </c>
      <c r="AD130" s="32">
        <v>47635</v>
      </c>
      <c r="BY130" s="14" t="s">
        <v>356</v>
      </c>
      <c r="BZ130" s="15" t="s">
        <v>355</v>
      </c>
      <c r="CA130" s="15" t="s">
        <v>355</v>
      </c>
      <c r="CB130" s="15" t="s">
        <v>344</v>
      </c>
    </row>
    <row r="131" spans="1:80" x14ac:dyDescent="0.3">
      <c r="A131" s="3">
        <v>130</v>
      </c>
      <c r="D131" s="3" t="s">
        <v>11</v>
      </c>
      <c r="E131" s="5" t="s">
        <v>206</v>
      </c>
      <c r="F131" s="5" t="s">
        <v>207</v>
      </c>
      <c r="G131" s="5" t="s">
        <v>208</v>
      </c>
      <c r="H131" s="5" t="s">
        <v>210</v>
      </c>
      <c r="K131" s="15">
        <v>184263</v>
      </c>
      <c r="L131" s="15"/>
      <c r="M131" s="15"/>
      <c r="N131" s="15"/>
      <c r="O131" s="15"/>
      <c r="P131" s="15"/>
      <c r="Q131" s="15"/>
      <c r="R131" s="16"/>
      <c r="S131" s="16">
        <f>(K131/10000)*20</f>
        <v>368.52600000000001</v>
      </c>
      <c r="T131" s="16"/>
      <c r="U131" s="16"/>
      <c r="V131" s="10"/>
      <c r="W131" s="10"/>
      <c r="X131" s="16"/>
      <c r="Y131" s="32"/>
      <c r="AD131" s="32"/>
      <c r="BY131" s="14" t="s">
        <v>356</v>
      </c>
      <c r="BZ131" s="15" t="s">
        <v>355</v>
      </c>
      <c r="CA131" s="15" t="s">
        <v>355</v>
      </c>
      <c r="CB131" s="15" t="s">
        <v>344</v>
      </c>
    </row>
    <row r="132" spans="1:80" x14ac:dyDescent="0.3">
      <c r="A132" s="3">
        <v>131</v>
      </c>
      <c r="B132" s="5">
        <v>48</v>
      </c>
      <c r="C132" s="5" t="s">
        <v>211</v>
      </c>
      <c r="D132" s="3" t="s">
        <v>11</v>
      </c>
      <c r="E132" s="5" t="s">
        <v>206</v>
      </c>
      <c r="F132" s="5" t="s">
        <v>207</v>
      </c>
      <c r="G132" s="5" t="s">
        <v>212</v>
      </c>
      <c r="H132" s="5" t="s">
        <v>33</v>
      </c>
      <c r="K132" s="15">
        <v>900615</v>
      </c>
      <c r="L132" s="15">
        <v>819599.15999999992</v>
      </c>
      <c r="M132" s="15">
        <v>493602.66</v>
      </c>
      <c r="N132" s="15">
        <v>0</v>
      </c>
      <c r="O132" s="15">
        <v>92697.51</v>
      </c>
      <c r="P132" s="15">
        <v>185454.52</v>
      </c>
      <c r="Q132" s="15">
        <v>47844.47</v>
      </c>
      <c r="R132" s="16">
        <v>0</v>
      </c>
      <c r="S132" s="16">
        <v>0</v>
      </c>
      <c r="T132" s="16">
        <v>1411</v>
      </c>
      <c r="U132" s="16">
        <v>65</v>
      </c>
      <c r="V132" s="16">
        <v>962</v>
      </c>
      <c r="W132" s="16">
        <v>56</v>
      </c>
      <c r="X132" s="16">
        <v>0</v>
      </c>
      <c r="Y132" s="32">
        <v>41541</v>
      </c>
      <c r="Z132" s="32">
        <v>42101</v>
      </c>
      <c r="AA132" s="39">
        <v>42215</v>
      </c>
      <c r="AB132" s="32">
        <v>42217</v>
      </c>
      <c r="AC132" s="4"/>
      <c r="AD132"/>
      <c r="BY132" s="14" t="s">
        <v>340</v>
      </c>
      <c r="BZ132" s="15" t="s">
        <v>355</v>
      </c>
      <c r="CA132" s="15" t="s">
        <v>355</v>
      </c>
      <c r="CB132" s="15" t="s">
        <v>354</v>
      </c>
    </row>
    <row r="133" spans="1:80" x14ac:dyDescent="0.3">
      <c r="A133" s="3">
        <v>132</v>
      </c>
      <c r="B133" s="5">
        <v>104</v>
      </c>
      <c r="C133" s="5" t="s">
        <v>213</v>
      </c>
      <c r="D133" s="3" t="s">
        <v>11</v>
      </c>
      <c r="E133" s="5" t="s">
        <v>206</v>
      </c>
      <c r="F133" s="5" t="s">
        <v>207</v>
      </c>
      <c r="G133" s="5" t="s">
        <v>212</v>
      </c>
      <c r="H133" s="5" t="s">
        <v>214</v>
      </c>
      <c r="K133" s="15">
        <v>74110.81</v>
      </c>
      <c r="L133" s="15">
        <v>74110.81</v>
      </c>
      <c r="M133" s="15">
        <v>48578.81</v>
      </c>
      <c r="N133" s="15"/>
      <c r="O133" s="15">
        <v>3786.42</v>
      </c>
      <c r="P133" s="15">
        <v>19092.439999999999</v>
      </c>
      <c r="Q133" s="15">
        <v>2300.5</v>
      </c>
      <c r="R133" s="16">
        <v>0</v>
      </c>
      <c r="S133" s="16">
        <v>0</v>
      </c>
      <c r="T133" s="16">
        <v>172</v>
      </c>
      <c r="U133" s="16"/>
      <c r="V133" s="16">
        <v>0</v>
      </c>
      <c r="W133" s="16">
        <v>0</v>
      </c>
      <c r="X133" s="16">
        <v>0</v>
      </c>
      <c r="Y133" s="32">
        <v>40491</v>
      </c>
      <c r="AD133" s="32">
        <v>46539</v>
      </c>
      <c r="BY133" s="14" t="s">
        <v>356</v>
      </c>
      <c r="BZ133" s="15" t="s">
        <v>355</v>
      </c>
      <c r="CA133" s="15" t="s">
        <v>355</v>
      </c>
      <c r="CB133" s="15" t="s">
        <v>343</v>
      </c>
    </row>
    <row r="134" spans="1:80" x14ac:dyDescent="0.3">
      <c r="A134" s="3">
        <v>133</v>
      </c>
      <c r="B134" s="5">
        <v>36</v>
      </c>
      <c r="C134" s="5" t="s">
        <v>215</v>
      </c>
      <c r="D134" s="3" t="s">
        <v>11</v>
      </c>
      <c r="E134" s="5" t="s">
        <v>206</v>
      </c>
      <c r="F134" s="5" t="s">
        <v>207</v>
      </c>
      <c r="G134" s="5" t="s">
        <v>212</v>
      </c>
      <c r="H134" s="5" t="s">
        <v>64</v>
      </c>
      <c r="K134" s="9">
        <v>363000</v>
      </c>
      <c r="L134" s="9">
        <v>340737.36</v>
      </c>
      <c r="M134" s="9">
        <v>189360.77</v>
      </c>
      <c r="N134" s="9">
        <v>0</v>
      </c>
      <c r="O134" s="9">
        <v>34200</v>
      </c>
      <c r="P134" s="9">
        <v>100159.87</v>
      </c>
      <c r="Q134" s="9">
        <v>17016.72</v>
      </c>
      <c r="R134" s="16">
        <v>0</v>
      </c>
      <c r="S134" s="16">
        <v>0</v>
      </c>
      <c r="T134" s="10">
        <v>625</v>
      </c>
      <c r="U134" s="10">
        <v>26</v>
      </c>
      <c r="V134" s="10">
        <v>0</v>
      </c>
      <c r="W134" s="10">
        <v>0</v>
      </c>
      <c r="X134" s="16">
        <v>0</v>
      </c>
      <c r="Y134" s="32">
        <v>40700</v>
      </c>
      <c r="Z134" s="32">
        <v>41089</v>
      </c>
      <c r="AA134" s="39">
        <v>41150</v>
      </c>
      <c r="AB134" s="32">
        <v>41456</v>
      </c>
      <c r="AC134" s="32">
        <v>43984</v>
      </c>
      <c r="AD134"/>
      <c r="BY134" s="14" t="s">
        <v>345</v>
      </c>
      <c r="BZ134" s="14" t="s">
        <v>345</v>
      </c>
      <c r="CA134" s="15" t="s">
        <v>355</v>
      </c>
      <c r="CB134" s="15" t="s">
        <v>346</v>
      </c>
    </row>
    <row r="135" spans="1:80" x14ac:dyDescent="0.3">
      <c r="A135" s="3">
        <v>134</v>
      </c>
      <c r="B135" s="5">
        <v>35</v>
      </c>
      <c r="C135" s="5" t="s">
        <v>216</v>
      </c>
      <c r="D135" s="3" t="s">
        <v>11</v>
      </c>
      <c r="E135" s="5" t="s">
        <v>206</v>
      </c>
      <c r="F135" s="5" t="s">
        <v>207</v>
      </c>
      <c r="G135" s="5" t="s">
        <v>212</v>
      </c>
      <c r="H135" s="5" t="s">
        <v>40</v>
      </c>
      <c r="K135" s="9">
        <v>884126</v>
      </c>
      <c r="L135" s="9">
        <v>793838.71</v>
      </c>
      <c r="M135" s="9">
        <v>431981.11</v>
      </c>
      <c r="N135" s="9">
        <v>0</v>
      </c>
      <c r="O135" s="9">
        <v>65424.88</v>
      </c>
      <c r="P135" s="9">
        <v>236585.87</v>
      </c>
      <c r="Q135" s="9">
        <v>59846.85</v>
      </c>
      <c r="R135" s="16">
        <v>0</v>
      </c>
      <c r="S135" s="16">
        <v>0</v>
      </c>
      <c r="T135" s="10">
        <v>1446</v>
      </c>
      <c r="U135" s="18">
        <v>101</v>
      </c>
      <c r="V135" s="10">
        <v>0</v>
      </c>
      <c r="W135" s="10">
        <v>0</v>
      </c>
      <c r="X135" s="16">
        <v>0</v>
      </c>
      <c r="Y135" s="32">
        <v>40700</v>
      </c>
      <c r="Z135" s="32">
        <v>41089</v>
      </c>
      <c r="AA135" s="39">
        <v>41152</v>
      </c>
      <c r="AB135" s="32">
        <v>41456</v>
      </c>
      <c r="AC135" s="32">
        <v>45280</v>
      </c>
      <c r="AD135"/>
      <c r="BY135" s="14" t="s">
        <v>345</v>
      </c>
      <c r="BZ135" s="14" t="s">
        <v>345</v>
      </c>
      <c r="CA135" s="15" t="s">
        <v>355</v>
      </c>
      <c r="CB135" s="15" t="s">
        <v>346</v>
      </c>
    </row>
    <row r="136" spans="1:80" x14ac:dyDescent="0.3">
      <c r="A136" s="3">
        <v>135</v>
      </c>
      <c r="B136" s="5">
        <v>35</v>
      </c>
      <c r="C136" s="5" t="s">
        <v>217</v>
      </c>
      <c r="D136" s="3" t="s">
        <v>11</v>
      </c>
      <c r="E136" s="5" t="s">
        <v>206</v>
      </c>
      <c r="F136" s="5" t="s">
        <v>207</v>
      </c>
      <c r="G136" s="5" t="s">
        <v>212</v>
      </c>
      <c r="H136" s="5" t="s">
        <v>176</v>
      </c>
      <c r="K136" s="9">
        <v>547296</v>
      </c>
      <c r="L136" s="9">
        <v>502276.42</v>
      </c>
      <c r="M136" s="9">
        <v>284294.45</v>
      </c>
      <c r="N136" s="9">
        <v>0</v>
      </c>
      <c r="O136" s="9">
        <v>54752.41</v>
      </c>
      <c r="P136" s="9">
        <v>141878.38</v>
      </c>
      <c r="Q136" s="9">
        <v>21351.18</v>
      </c>
      <c r="R136" s="16">
        <v>0</v>
      </c>
      <c r="S136" s="16">
        <v>0</v>
      </c>
      <c r="T136" s="10">
        <v>942</v>
      </c>
      <c r="U136" s="10">
        <v>47</v>
      </c>
      <c r="V136" s="10">
        <v>0</v>
      </c>
      <c r="W136" s="10">
        <v>0</v>
      </c>
      <c r="X136" s="16">
        <v>0</v>
      </c>
      <c r="Y136" s="32">
        <v>40700</v>
      </c>
      <c r="Z136" s="32">
        <v>41089</v>
      </c>
      <c r="AA136" s="39">
        <v>41156</v>
      </c>
      <c r="AB136" s="32">
        <v>41456</v>
      </c>
      <c r="AC136" s="32">
        <v>43984</v>
      </c>
      <c r="AD136"/>
      <c r="BY136" s="14" t="s">
        <v>345</v>
      </c>
      <c r="BZ136" s="14" t="s">
        <v>345</v>
      </c>
      <c r="CA136" s="15" t="s">
        <v>355</v>
      </c>
      <c r="CB136" s="15" t="s">
        <v>346</v>
      </c>
    </row>
    <row r="137" spans="1:80" x14ac:dyDescent="0.3">
      <c r="A137" s="3">
        <v>136</v>
      </c>
      <c r="B137" s="5">
        <v>35</v>
      </c>
      <c r="C137" s="5" t="s">
        <v>218</v>
      </c>
      <c r="D137" s="3" t="s">
        <v>11</v>
      </c>
      <c r="E137" s="5" t="s">
        <v>206</v>
      </c>
      <c r="F137" s="5" t="s">
        <v>207</v>
      </c>
      <c r="G137" s="5" t="s">
        <v>212</v>
      </c>
      <c r="H137" s="5" t="s">
        <v>219</v>
      </c>
      <c r="K137" s="15">
        <v>875387</v>
      </c>
      <c r="L137" s="15">
        <v>776418.39</v>
      </c>
      <c r="M137" s="15">
        <v>357961.47</v>
      </c>
      <c r="N137" s="15">
        <v>0</v>
      </c>
      <c r="O137" s="15">
        <v>177494.77</v>
      </c>
      <c r="P137" s="15">
        <v>192937.74</v>
      </c>
      <c r="Q137" s="15">
        <v>48024.41</v>
      </c>
      <c r="R137" s="16">
        <v>0</v>
      </c>
      <c r="S137" s="16">
        <v>0</v>
      </c>
      <c r="T137" s="16">
        <v>1438</v>
      </c>
      <c r="U137" s="13"/>
      <c r="V137" s="16">
        <v>1192</v>
      </c>
      <c r="W137" s="16">
        <v>76</v>
      </c>
      <c r="X137" s="16">
        <v>0</v>
      </c>
      <c r="Y137" s="32">
        <v>40700</v>
      </c>
      <c r="Z137" s="32">
        <v>41089</v>
      </c>
      <c r="AA137" s="39">
        <v>41158</v>
      </c>
      <c r="AB137" s="32">
        <v>44044</v>
      </c>
      <c r="AD137" s="32"/>
      <c r="BY137" s="14" t="s">
        <v>345</v>
      </c>
      <c r="BZ137" s="14" t="s">
        <v>345</v>
      </c>
      <c r="CA137" s="15" t="s">
        <v>355</v>
      </c>
      <c r="CB137" s="15" t="s">
        <v>354</v>
      </c>
    </row>
    <row r="138" spans="1:80" x14ac:dyDescent="0.3">
      <c r="A138" s="3">
        <v>137</v>
      </c>
      <c r="B138" s="5">
        <v>30</v>
      </c>
      <c r="C138" s="5" t="s">
        <v>220</v>
      </c>
      <c r="D138" s="3" t="s">
        <v>11</v>
      </c>
      <c r="E138" s="5" t="s">
        <v>206</v>
      </c>
      <c r="F138" s="5" t="s">
        <v>207</v>
      </c>
      <c r="G138" s="5" t="s">
        <v>221</v>
      </c>
      <c r="H138" s="5" t="s">
        <v>222</v>
      </c>
      <c r="K138" s="9">
        <v>920512</v>
      </c>
      <c r="L138" s="9">
        <v>830236.16000000003</v>
      </c>
      <c r="M138" s="9">
        <v>518438.27</v>
      </c>
      <c r="N138" s="9">
        <v>0</v>
      </c>
      <c r="O138" s="9">
        <v>21929.360000000001</v>
      </c>
      <c r="P138" s="9">
        <v>210929.36</v>
      </c>
      <c r="Q138" s="9">
        <v>78931.490000000005</v>
      </c>
      <c r="R138" s="10">
        <v>0</v>
      </c>
      <c r="S138" s="10">
        <v>0</v>
      </c>
      <c r="T138" s="10">
        <v>1728</v>
      </c>
      <c r="U138" s="10">
        <v>62</v>
      </c>
      <c r="V138" s="10">
        <v>0</v>
      </c>
      <c r="W138" s="10">
        <v>0</v>
      </c>
      <c r="X138" s="16">
        <v>0</v>
      </c>
      <c r="Y138" s="32">
        <v>40697</v>
      </c>
      <c r="Z138" s="32">
        <v>40994</v>
      </c>
      <c r="AA138" s="44">
        <v>41026</v>
      </c>
      <c r="AB138" s="32">
        <v>41061</v>
      </c>
      <c r="AC138" s="4"/>
      <c r="AD138"/>
      <c r="BY138" s="14" t="s">
        <v>345</v>
      </c>
      <c r="BZ138" s="14" t="s">
        <v>345</v>
      </c>
      <c r="CA138" s="15" t="s">
        <v>355</v>
      </c>
      <c r="CB138" s="15" t="s">
        <v>352</v>
      </c>
    </row>
    <row r="139" spans="1:80" x14ac:dyDescent="0.3">
      <c r="A139" s="3">
        <v>138</v>
      </c>
      <c r="B139" s="5">
        <v>29</v>
      </c>
      <c r="C139" s="5" t="s">
        <v>223</v>
      </c>
      <c r="D139" s="3" t="s">
        <v>11</v>
      </c>
      <c r="E139" s="5" t="s">
        <v>206</v>
      </c>
      <c r="F139" s="5" t="s">
        <v>207</v>
      </c>
      <c r="G139" s="5" t="s">
        <v>224</v>
      </c>
      <c r="H139" s="5" t="s">
        <v>225</v>
      </c>
      <c r="K139" s="9">
        <v>768024</v>
      </c>
      <c r="L139" s="9">
        <v>768024</v>
      </c>
      <c r="M139" s="9">
        <v>371108.27</v>
      </c>
      <c r="N139" s="9">
        <v>0</v>
      </c>
      <c r="O139" s="9">
        <v>48249.05</v>
      </c>
      <c r="P139" s="9">
        <v>185294.09</v>
      </c>
      <c r="Q139" s="9">
        <v>163372.59</v>
      </c>
      <c r="R139" s="10">
        <v>0</v>
      </c>
      <c r="S139" s="10">
        <v>0</v>
      </c>
      <c r="T139" s="10">
        <v>1213</v>
      </c>
      <c r="U139" s="10">
        <v>74</v>
      </c>
      <c r="V139" s="10">
        <v>0</v>
      </c>
      <c r="W139" s="10">
        <v>0</v>
      </c>
      <c r="X139" s="16">
        <v>0</v>
      </c>
      <c r="Y139" s="32">
        <v>39939</v>
      </c>
      <c r="Z139" s="32">
        <v>40676</v>
      </c>
      <c r="AA139" s="39">
        <v>40690</v>
      </c>
      <c r="AB139" s="32">
        <v>40787</v>
      </c>
      <c r="AC139" s="32">
        <v>42573</v>
      </c>
      <c r="AD139"/>
      <c r="BY139" s="14" t="s">
        <v>345</v>
      </c>
      <c r="BZ139" s="14" t="s">
        <v>345</v>
      </c>
      <c r="CA139" s="15" t="s">
        <v>355</v>
      </c>
      <c r="CB139" s="15" t="s">
        <v>352</v>
      </c>
    </row>
    <row r="140" spans="1:80" x14ac:dyDescent="0.3">
      <c r="A140" s="3">
        <v>139</v>
      </c>
      <c r="B140" s="5">
        <v>29</v>
      </c>
      <c r="C140" s="5" t="s">
        <v>226</v>
      </c>
      <c r="D140" s="3" t="s">
        <v>11</v>
      </c>
      <c r="E140" s="5" t="s">
        <v>206</v>
      </c>
      <c r="F140" s="5" t="s">
        <v>207</v>
      </c>
      <c r="G140" s="5" t="s">
        <v>224</v>
      </c>
      <c r="H140" s="5" t="s">
        <v>34</v>
      </c>
      <c r="K140" s="9">
        <v>395735</v>
      </c>
      <c r="L140" s="9">
        <v>395735</v>
      </c>
      <c r="M140" s="9">
        <v>226681.36</v>
      </c>
      <c r="N140" s="9">
        <v>0</v>
      </c>
      <c r="O140" s="9">
        <v>19961.09</v>
      </c>
      <c r="P140" s="9">
        <v>81764.75</v>
      </c>
      <c r="Q140" s="9">
        <v>67327.8</v>
      </c>
      <c r="R140" s="10">
        <v>0</v>
      </c>
      <c r="S140" s="10">
        <v>0</v>
      </c>
      <c r="T140" s="10">
        <v>739</v>
      </c>
      <c r="U140" s="10">
        <v>48</v>
      </c>
      <c r="V140" s="10">
        <v>0</v>
      </c>
      <c r="W140" s="10">
        <v>0</v>
      </c>
      <c r="X140" s="16">
        <v>0</v>
      </c>
      <c r="Y140" s="32">
        <v>39988</v>
      </c>
      <c r="Z140" s="32">
        <v>40676</v>
      </c>
      <c r="AA140" s="39">
        <v>40690</v>
      </c>
      <c r="AB140" s="32">
        <v>40787</v>
      </c>
      <c r="AC140" s="32">
        <v>42573</v>
      </c>
      <c r="AD140"/>
      <c r="BY140" s="14" t="s">
        <v>345</v>
      </c>
      <c r="BZ140" s="14" t="s">
        <v>345</v>
      </c>
      <c r="CA140" s="15" t="s">
        <v>355</v>
      </c>
      <c r="CB140" s="15" t="s">
        <v>352</v>
      </c>
    </row>
    <row r="141" spans="1:80" x14ac:dyDescent="0.3">
      <c r="A141" s="3">
        <v>140</v>
      </c>
      <c r="B141" s="5">
        <v>26</v>
      </c>
      <c r="C141" s="5" t="s">
        <v>227</v>
      </c>
      <c r="D141" s="3" t="s">
        <v>11</v>
      </c>
      <c r="E141" s="5" t="s">
        <v>206</v>
      </c>
      <c r="F141" s="5" t="s">
        <v>207</v>
      </c>
      <c r="G141" s="5" t="s">
        <v>224</v>
      </c>
      <c r="H141" s="5" t="s">
        <v>228</v>
      </c>
      <c r="K141" s="9">
        <v>271150</v>
      </c>
      <c r="L141" s="9">
        <v>239124.49</v>
      </c>
      <c r="M141" s="9">
        <v>150962.42000000001</v>
      </c>
      <c r="N141" s="9">
        <v>0</v>
      </c>
      <c r="O141" s="9">
        <v>9247.6</v>
      </c>
      <c r="P141" s="9">
        <v>48282.3</v>
      </c>
      <c r="Q141" s="9">
        <v>30632.17</v>
      </c>
      <c r="R141" s="10">
        <v>0</v>
      </c>
      <c r="S141" s="10">
        <v>0</v>
      </c>
      <c r="T141" s="10">
        <v>471</v>
      </c>
      <c r="U141" s="10">
        <v>21</v>
      </c>
      <c r="V141" s="10">
        <v>0</v>
      </c>
      <c r="W141" s="10">
        <v>0</v>
      </c>
      <c r="X141" s="16">
        <v>0</v>
      </c>
      <c r="Y141" s="32">
        <v>39533</v>
      </c>
      <c r="Z141" s="32">
        <v>40123</v>
      </c>
      <c r="AA141" s="39">
        <v>40140</v>
      </c>
      <c r="AB141" s="32">
        <v>40148</v>
      </c>
      <c r="AC141" s="32">
        <v>41107</v>
      </c>
      <c r="AD141"/>
      <c r="BY141" s="14" t="s">
        <v>345</v>
      </c>
      <c r="BZ141" s="14" t="s">
        <v>345</v>
      </c>
      <c r="CA141" s="15" t="s">
        <v>355</v>
      </c>
      <c r="CB141" s="15" t="s">
        <v>352</v>
      </c>
    </row>
    <row r="142" spans="1:80" x14ac:dyDescent="0.3">
      <c r="A142" s="3">
        <v>141</v>
      </c>
      <c r="B142" s="5">
        <v>68</v>
      </c>
      <c r="C142" s="5" t="s">
        <v>229</v>
      </c>
      <c r="D142" s="3" t="s">
        <v>11</v>
      </c>
      <c r="E142" s="5" t="s">
        <v>206</v>
      </c>
      <c r="F142" s="5" t="s">
        <v>207</v>
      </c>
      <c r="G142" s="5" t="s">
        <v>224</v>
      </c>
      <c r="H142" s="5" t="s">
        <v>64</v>
      </c>
      <c r="K142" s="9">
        <v>498261.06</v>
      </c>
      <c r="L142" s="9">
        <v>479446.47</v>
      </c>
      <c r="M142" s="9">
        <v>283603.92</v>
      </c>
      <c r="N142" s="9">
        <v>0</v>
      </c>
      <c r="O142" s="9">
        <v>25093.07</v>
      </c>
      <c r="P142" s="9">
        <v>122790.47</v>
      </c>
      <c r="Q142" s="9">
        <v>47959.01</v>
      </c>
      <c r="R142" s="10">
        <v>0</v>
      </c>
      <c r="S142" s="10">
        <v>0</v>
      </c>
      <c r="T142" s="10">
        <v>926</v>
      </c>
      <c r="U142" s="10">
        <v>36</v>
      </c>
      <c r="V142" s="10">
        <v>0</v>
      </c>
      <c r="W142" s="10">
        <v>0</v>
      </c>
      <c r="X142" s="16">
        <v>0</v>
      </c>
      <c r="Y142" s="32">
        <v>41648</v>
      </c>
      <c r="Z142" s="32">
        <v>42958</v>
      </c>
      <c r="AA142" s="39">
        <v>43045</v>
      </c>
      <c r="AB142" s="32">
        <v>43313</v>
      </c>
      <c r="AC142" s="32">
        <v>44316</v>
      </c>
      <c r="AD142"/>
      <c r="BY142" s="14" t="s">
        <v>340</v>
      </c>
      <c r="BZ142" s="14" t="s">
        <v>341</v>
      </c>
      <c r="CA142" s="15" t="s">
        <v>355</v>
      </c>
      <c r="CB142" s="15" t="s">
        <v>346</v>
      </c>
    </row>
    <row r="143" spans="1:80" x14ac:dyDescent="0.3">
      <c r="A143" s="3">
        <v>142</v>
      </c>
      <c r="B143" s="5">
        <v>68</v>
      </c>
      <c r="C143" s="5" t="s">
        <v>230</v>
      </c>
      <c r="D143" s="3" t="s">
        <v>11</v>
      </c>
      <c r="E143" s="5" t="s">
        <v>206</v>
      </c>
      <c r="F143" s="5" t="s">
        <v>207</v>
      </c>
      <c r="G143" s="5" t="s">
        <v>224</v>
      </c>
      <c r="H143" s="5" t="s">
        <v>40</v>
      </c>
      <c r="K143" s="9">
        <v>352700</v>
      </c>
      <c r="L143" s="9">
        <v>291522.94</v>
      </c>
      <c r="M143" s="9">
        <v>178065.52</v>
      </c>
      <c r="N143" s="9">
        <v>0</v>
      </c>
      <c r="O143" s="9">
        <v>14756.46</v>
      </c>
      <c r="P143" s="9">
        <v>69440.94</v>
      </c>
      <c r="Q143" s="9">
        <v>29260.02</v>
      </c>
      <c r="R143" s="10">
        <v>0</v>
      </c>
      <c r="S143" s="10">
        <v>0</v>
      </c>
      <c r="T143" s="10">
        <v>580</v>
      </c>
      <c r="U143" s="10">
        <v>233</v>
      </c>
      <c r="V143" s="10">
        <v>0</v>
      </c>
      <c r="W143" s="10">
        <v>0</v>
      </c>
      <c r="X143" s="16">
        <v>0</v>
      </c>
      <c r="Y143" s="32">
        <v>41648</v>
      </c>
      <c r="Z143" s="32">
        <v>42958</v>
      </c>
      <c r="AA143" s="39">
        <v>43045</v>
      </c>
      <c r="AB143" s="32">
        <v>44105</v>
      </c>
      <c r="AC143" s="32">
        <v>44986</v>
      </c>
      <c r="AD143"/>
      <c r="BY143" s="14" t="s">
        <v>340</v>
      </c>
      <c r="BZ143" s="14" t="s">
        <v>341</v>
      </c>
      <c r="CA143" s="15" t="s">
        <v>355</v>
      </c>
      <c r="CB143" s="15" t="s">
        <v>346</v>
      </c>
    </row>
    <row r="144" spans="1:80" x14ac:dyDescent="0.3">
      <c r="A144" s="3">
        <v>143</v>
      </c>
      <c r="B144" s="5">
        <v>113</v>
      </c>
      <c r="C144" s="5" t="s">
        <v>231</v>
      </c>
      <c r="D144" s="3" t="s">
        <v>11</v>
      </c>
      <c r="E144" s="5" t="s">
        <v>206</v>
      </c>
      <c r="F144" s="5" t="s">
        <v>207</v>
      </c>
      <c r="G144" s="5" t="s">
        <v>224</v>
      </c>
      <c r="H144" s="5" t="s">
        <v>176</v>
      </c>
      <c r="K144" s="9">
        <v>221800</v>
      </c>
      <c r="L144" s="9">
        <v>211805.92</v>
      </c>
      <c r="M144" s="9">
        <v>131346.54999999999</v>
      </c>
      <c r="N144" s="9">
        <v>0</v>
      </c>
      <c r="O144" s="9">
        <v>11157.28</v>
      </c>
      <c r="P144" s="9">
        <v>47121.47</v>
      </c>
      <c r="Q144" s="9">
        <v>22180.62</v>
      </c>
      <c r="R144" s="10">
        <v>0</v>
      </c>
      <c r="S144" s="10">
        <v>0</v>
      </c>
      <c r="T144" s="10">
        <v>430</v>
      </c>
      <c r="U144" s="10">
        <v>16</v>
      </c>
      <c r="V144" s="10">
        <v>0</v>
      </c>
      <c r="W144" s="10">
        <v>0</v>
      </c>
      <c r="X144" s="16">
        <v>0</v>
      </c>
      <c r="Y144" s="32">
        <v>44032</v>
      </c>
      <c r="Z144" s="32">
        <v>44669</v>
      </c>
      <c r="AA144" s="39">
        <v>44727</v>
      </c>
      <c r="AB144" s="32">
        <v>44805</v>
      </c>
      <c r="AC144" s="32">
        <v>45950</v>
      </c>
      <c r="AD144"/>
      <c r="BY144" s="14" t="s">
        <v>340</v>
      </c>
      <c r="BZ144" s="15" t="s">
        <v>355</v>
      </c>
      <c r="CA144" s="15" t="s">
        <v>355</v>
      </c>
      <c r="CB144" s="15" t="s">
        <v>348</v>
      </c>
    </row>
    <row r="145" spans="1:80" x14ac:dyDescent="0.3">
      <c r="A145" s="3">
        <v>144</v>
      </c>
      <c r="B145" s="5">
        <v>132</v>
      </c>
      <c r="C145" s="5" t="s">
        <v>232</v>
      </c>
      <c r="D145" s="3" t="s">
        <v>11</v>
      </c>
      <c r="E145" s="5" t="s">
        <v>206</v>
      </c>
      <c r="F145" s="5" t="s">
        <v>207</v>
      </c>
      <c r="G145" s="5" t="s">
        <v>224</v>
      </c>
      <c r="H145" s="5" t="s">
        <v>219</v>
      </c>
      <c r="K145" s="15">
        <v>493200</v>
      </c>
      <c r="L145" s="15">
        <v>436814.66000000003</v>
      </c>
      <c r="M145" s="15">
        <v>240694.85</v>
      </c>
      <c r="N145" s="15">
        <v>0</v>
      </c>
      <c r="O145" s="15">
        <v>49499.9</v>
      </c>
      <c r="P145" s="15">
        <v>121604.49</v>
      </c>
      <c r="Q145" s="15">
        <v>25015.42</v>
      </c>
      <c r="R145" s="10">
        <v>0</v>
      </c>
      <c r="S145" s="10">
        <v>0</v>
      </c>
      <c r="T145" s="10">
        <v>1045</v>
      </c>
      <c r="U145" s="10">
        <v>32</v>
      </c>
      <c r="V145" s="29"/>
      <c r="W145" s="29"/>
      <c r="X145" s="16">
        <v>0</v>
      </c>
      <c r="Y145" s="32">
        <v>44330</v>
      </c>
      <c r="Z145" s="32">
        <v>45404</v>
      </c>
      <c r="AA145" s="39">
        <v>45533</v>
      </c>
      <c r="AD145" s="32">
        <v>56766</v>
      </c>
      <c r="BY145" s="14" t="s">
        <v>340</v>
      </c>
      <c r="BZ145" s="15" t="s">
        <v>355</v>
      </c>
      <c r="CA145" s="15" t="s">
        <v>355</v>
      </c>
      <c r="CB145" s="15" t="s">
        <v>349</v>
      </c>
    </row>
    <row r="146" spans="1:80" x14ac:dyDescent="0.3">
      <c r="A146" s="3">
        <v>145</v>
      </c>
      <c r="B146" s="5">
        <v>134</v>
      </c>
      <c r="C146" s="5" t="s">
        <v>233</v>
      </c>
      <c r="D146" s="3" t="s">
        <v>11</v>
      </c>
      <c r="E146" s="5" t="s">
        <v>206</v>
      </c>
      <c r="F146" s="5" t="s">
        <v>207</v>
      </c>
      <c r="G146" s="5" t="s">
        <v>224</v>
      </c>
      <c r="H146" s="5" t="s">
        <v>234</v>
      </c>
      <c r="K146" s="15">
        <v>619900</v>
      </c>
      <c r="L146" s="15">
        <v>525530.06000000006</v>
      </c>
      <c r="M146" s="15">
        <v>275949.96000000002</v>
      </c>
      <c r="N146" s="15">
        <v>0</v>
      </c>
      <c r="O146" s="15">
        <v>63215.5</v>
      </c>
      <c r="P146" s="15">
        <v>154550.04</v>
      </c>
      <c r="Q146" s="15">
        <v>31814.560000000001</v>
      </c>
      <c r="R146" s="16">
        <v>0</v>
      </c>
      <c r="S146" s="16">
        <v>0</v>
      </c>
      <c r="T146" s="16">
        <v>1102</v>
      </c>
      <c r="U146" s="16">
        <v>41</v>
      </c>
      <c r="V146" s="16">
        <v>0</v>
      </c>
      <c r="W146" s="16">
        <v>0</v>
      </c>
      <c r="X146" s="16">
        <v>0</v>
      </c>
      <c r="Y146" s="32">
        <v>44348</v>
      </c>
      <c r="Z146" s="32">
        <v>45919</v>
      </c>
      <c r="AA146" s="39">
        <v>46036</v>
      </c>
      <c r="AD146" s="32">
        <v>56766</v>
      </c>
      <c r="BY146" s="14" t="s">
        <v>340</v>
      </c>
      <c r="BZ146" s="15" t="s">
        <v>355</v>
      </c>
      <c r="CA146" s="15" t="s">
        <v>355</v>
      </c>
      <c r="CB146" s="15" t="s">
        <v>343</v>
      </c>
    </row>
    <row r="147" spans="1:80" x14ac:dyDescent="0.3">
      <c r="A147" s="3">
        <v>146</v>
      </c>
      <c r="D147" s="3" t="s">
        <v>11</v>
      </c>
      <c r="E147" s="5" t="s">
        <v>206</v>
      </c>
      <c r="F147" s="5" t="s">
        <v>207</v>
      </c>
      <c r="G147" s="5" t="s">
        <v>224</v>
      </c>
      <c r="H147" s="5" t="s">
        <v>235</v>
      </c>
      <c r="K147" s="15">
        <v>999965</v>
      </c>
      <c r="L147" s="15">
        <v>836354.58</v>
      </c>
      <c r="M147" s="15">
        <v>442105.82</v>
      </c>
      <c r="N147" s="15"/>
      <c r="O147" s="15">
        <v>106756.67</v>
      </c>
      <c r="P147" s="15">
        <v>234895.59</v>
      </c>
      <c r="Q147" s="15">
        <v>52596.5</v>
      </c>
      <c r="R147" s="16">
        <v>0</v>
      </c>
      <c r="S147" s="16">
        <v>0</v>
      </c>
      <c r="T147" s="16">
        <v>1696</v>
      </c>
      <c r="U147" s="16">
        <v>64</v>
      </c>
      <c r="V147" s="16">
        <v>0</v>
      </c>
      <c r="W147" s="16">
        <v>0</v>
      </c>
      <c r="X147" s="16">
        <v>0</v>
      </c>
      <c r="Y147" s="32">
        <v>44988</v>
      </c>
      <c r="AD147" s="32">
        <v>48000</v>
      </c>
      <c r="BY147" s="14" t="s">
        <v>356</v>
      </c>
      <c r="BZ147" s="15" t="s">
        <v>355</v>
      </c>
      <c r="CA147" s="15" t="s">
        <v>355</v>
      </c>
      <c r="CB147" s="15" t="s">
        <v>343</v>
      </c>
    </row>
    <row r="148" spans="1:80" x14ac:dyDescent="0.3">
      <c r="A148" s="3">
        <v>147</v>
      </c>
      <c r="B148" s="5">
        <v>51</v>
      </c>
      <c r="C148" s="5" t="s">
        <v>236</v>
      </c>
      <c r="D148" s="3" t="s">
        <v>11</v>
      </c>
      <c r="E148" s="5" t="s">
        <v>206</v>
      </c>
      <c r="F148" s="5" t="s">
        <v>207</v>
      </c>
      <c r="G148" s="5" t="s">
        <v>237</v>
      </c>
      <c r="H148" s="5" t="s">
        <v>39</v>
      </c>
      <c r="K148" s="9">
        <v>266335</v>
      </c>
      <c r="L148" s="9">
        <v>266335</v>
      </c>
      <c r="M148" s="9">
        <v>133005.32999999999</v>
      </c>
      <c r="N148" s="9">
        <v>0</v>
      </c>
      <c r="O148" s="9">
        <v>30608.080000000002</v>
      </c>
      <c r="P148" s="9">
        <v>76041.149999999994</v>
      </c>
      <c r="Q148" s="9">
        <v>26650.44</v>
      </c>
      <c r="R148" s="10">
        <v>0</v>
      </c>
      <c r="S148" s="10">
        <v>0</v>
      </c>
      <c r="T148" s="10">
        <v>506</v>
      </c>
      <c r="U148" s="10">
        <v>22</v>
      </c>
      <c r="V148" s="10">
        <v>0</v>
      </c>
      <c r="W148" s="10">
        <v>0</v>
      </c>
      <c r="X148" s="16">
        <v>0</v>
      </c>
      <c r="Y148" s="32">
        <v>42102</v>
      </c>
      <c r="Z148" s="32">
        <v>42558</v>
      </c>
      <c r="AA148" s="39">
        <v>42695</v>
      </c>
      <c r="AB148" s="32">
        <v>42705</v>
      </c>
      <c r="AC148" s="32">
        <v>44616</v>
      </c>
      <c r="AD148"/>
      <c r="BY148" s="14" t="s">
        <v>345</v>
      </c>
      <c r="BZ148" s="14" t="s">
        <v>345</v>
      </c>
      <c r="CA148" s="15" t="s">
        <v>355</v>
      </c>
      <c r="CB148" s="15" t="s">
        <v>346</v>
      </c>
    </row>
    <row r="149" spans="1:80" x14ac:dyDescent="0.3">
      <c r="A149" s="3">
        <v>148</v>
      </c>
      <c r="B149" s="5">
        <v>25</v>
      </c>
      <c r="C149" s="5" t="s">
        <v>238</v>
      </c>
      <c r="D149" s="3" t="s">
        <v>11</v>
      </c>
      <c r="E149" s="5" t="s">
        <v>206</v>
      </c>
      <c r="F149" s="5" t="s">
        <v>207</v>
      </c>
      <c r="G149" s="5" t="s">
        <v>239</v>
      </c>
      <c r="H149" s="5" t="s">
        <v>33</v>
      </c>
      <c r="K149" s="9">
        <v>520100</v>
      </c>
      <c r="L149" s="9">
        <v>484857.33999999997</v>
      </c>
      <c r="M149" s="9">
        <v>273832.75</v>
      </c>
      <c r="N149" s="9">
        <v>0</v>
      </c>
      <c r="O149" s="9">
        <v>41184.06</v>
      </c>
      <c r="P149" s="9">
        <v>111152.88</v>
      </c>
      <c r="Q149" s="9">
        <v>58687.65</v>
      </c>
      <c r="R149" s="10">
        <v>0</v>
      </c>
      <c r="S149" s="10">
        <v>0</v>
      </c>
      <c r="T149" s="10">
        <v>886</v>
      </c>
      <c r="U149" s="16">
        <v>47</v>
      </c>
      <c r="V149" s="10">
        <v>805</v>
      </c>
      <c r="W149" s="10">
        <v>42</v>
      </c>
      <c r="X149" s="16">
        <v>0</v>
      </c>
      <c r="Y149" s="32">
        <v>39685</v>
      </c>
      <c r="Z149" s="32">
        <v>39801</v>
      </c>
      <c r="AA149" s="39">
        <v>40014</v>
      </c>
      <c r="AB149" s="32">
        <v>39995</v>
      </c>
      <c r="AC149" s="32">
        <v>41145</v>
      </c>
      <c r="AD149"/>
      <c r="BY149" s="14" t="s">
        <v>345</v>
      </c>
      <c r="BZ149" s="14" t="s">
        <v>345</v>
      </c>
      <c r="CA149" s="15" t="s">
        <v>355</v>
      </c>
      <c r="CB149" s="15" t="s">
        <v>352</v>
      </c>
    </row>
    <row r="150" spans="1:80" x14ac:dyDescent="0.3">
      <c r="A150" s="3">
        <v>149</v>
      </c>
      <c r="B150" s="5">
        <v>37</v>
      </c>
      <c r="C150" s="5" t="s">
        <v>240</v>
      </c>
      <c r="D150" s="3" t="s">
        <v>11</v>
      </c>
      <c r="E150" s="5" t="s">
        <v>206</v>
      </c>
      <c r="F150" s="5" t="s">
        <v>207</v>
      </c>
      <c r="G150" s="5" t="s">
        <v>239</v>
      </c>
      <c r="H150" s="5" t="s">
        <v>228</v>
      </c>
      <c r="K150" s="9">
        <v>970768</v>
      </c>
      <c r="L150" s="9">
        <v>906541.95</v>
      </c>
      <c r="M150" s="9">
        <v>504718.16</v>
      </c>
      <c r="N150" s="9">
        <v>0</v>
      </c>
      <c r="O150" s="9">
        <v>90654.2</v>
      </c>
      <c r="P150" s="9">
        <v>264579.01</v>
      </c>
      <c r="Q150" s="9">
        <v>46590.58</v>
      </c>
      <c r="R150" s="10">
        <v>0</v>
      </c>
      <c r="S150" s="10">
        <v>0</v>
      </c>
      <c r="T150" s="10">
        <v>1978</v>
      </c>
      <c r="U150" s="16">
        <v>78</v>
      </c>
      <c r="V150" s="10">
        <v>1988</v>
      </c>
      <c r="W150" s="10">
        <v>81</v>
      </c>
      <c r="X150" s="16">
        <v>0</v>
      </c>
      <c r="Y150" s="32">
        <v>41501</v>
      </c>
      <c r="Z150" s="32">
        <v>41586</v>
      </c>
      <c r="AA150" s="39">
        <v>41799</v>
      </c>
      <c r="AB150" s="32">
        <v>41821</v>
      </c>
      <c r="AC150" s="32">
        <v>44160</v>
      </c>
      <c r="AD150"/>
      <c r="BY150" s="14" t="s">
        <v>345</v>
      </c>
      <c r="BZ150" s="14" t="s">
        <v>345</v>
      </c>
      <c r="CA150" s="15" t="s">
        <v>355</v>
      </c>
      <c r="CB150" s="15" t="s">
        <v>346</v>
      </c>
    </row>
    <row r="151" spans="1:80" x14ac:dyDescent="0.3">
      <c r="A151" s="3">
        <v>150</v>
      </c>
      <c r="B151" s="5">
        <v>9</v>
      </c>
      <c r="C151" s="5" t="s">
        <v>241</v>
      </c>
      <c r="D151" s="3" t="s">
        <v>11</v>
      </c>
      <c r="E151" s="5" t="s">
        <v>206</v>
      </c>
      <c r="F151" s="5" t="s">
        <v>207</v>
      </c>
      <c r="G151" s="5" t="s">
        <v>242</v>
      </c>
      <c r="H151" s="5" t="s">
        <v>39</v>
      </c>
      <c r="K151" s="15">
        <v>870767</v>
      </c>
      <c r="L151" s="15">
        <v>830281.34</v>
      </c>
      <c r="M151" s="15">
        <v>434637.92</v>
      </c>
      <c r="N151" s="15"/>
      <c r="O151" s="15">
        <v>99677.4</v>
      </c>
      <c r="P151" s="15">
        <v>232091.16</v>
      </c>
      <c r="Q151" s="15">
        <v>60674.06</v>
      </c>
      <c r="R151" s="16">
        <v>0</v>
      </c>
      <c r="S151" s="16">
        <v>1813</v>
      </c>
      <c r="T151" s="16"/>
      <c r="U151" s="16"/>
      <c r="V151" s="16">
        <v>0</v>
      </c>
      <c r="W151" s="16">
        <v>0</v>
      </c>
      <c r="X151" s="16">
        <v>0</v>
      </c>
      <c r="Y151" s="32">
        <v>41619</v>
      </c>
      <c r="AD151" s="32">
        <v>47635</v>
      </c>
      <c r="BY151" s="14" t="s">
        <v>340</v>
      </c>
      <c r="BZ151" s="15" t="s">
        <v>355</v>
      </c>
      <c r="CA151" s="15" t="s">
        <v>355</v>
      </c>
      <c r="CB151" s="15" t="s">
        <v>343</v>
      </c>
    </row>
    <row r="152" spans="1:80" x14ac:dyDescent="0.3">
      <c r="A152" s="3">
        <v>151</v>
      </c>
      <c r="B152" s="5">
        <v>40</v>
      </c>
      <c r="C152" s="5" t="s">
        <v>243</v>
      </c>
      <c r="D152" s="3" t="s">
        <v>11</v>
      </c>
      <c r="E152" s="5" t="s">
        <v>206</v>
      </c>
      <c r="F152" s="5" t="s">
        <v>207</v>
      </c>
      <c r="G152" s="5" t="s">
        <v>244</v>
      </c>
      <c r="H152" s="5" t="s">
        <v>33</v>
      </c>
      <c r="K152" s="9">
        <v>111156.15</v>
      </c>
      <c r="L152" s="9">
        <v>111156.15</v>
      </c>
      <c r="M152" s="9">
        <v>54638.47</v>
      </c>
      <c r="N152" s="9">
        <v>0</v>
      </c>
      <c r="O152" s="9">
        <v>12253.81</v>
      </c>
      <c r="P152" s="9">
        <v>26744.7</v>
      </c>
      <c r="Q152" s="9">
        <v>17519.169999999998</v>
      </c>
      <c r="R152" s="16">
        <v>0</v>
      </c>
      <c r="S152" s="16">
        <v>0</v>
      </c>
      <c r="T152" s="10">
        <v>174</v>
      </c>
      <c r="U152" s="10">
        <v>9</v>
      </c>
      <c r="V152" s="10">
        <v>0</v>
      </c>
      <c r="W152" s="10">
        <v>0</v>
      </c>
      <c r="X152" s="16">
        <v>0</v>
      </c>
      <c r="Y152" s="32">
        <v>41355</v>
      </c>
      <c r="Z152" s="32">
        <v>41540</v>
      </c>
      <c r="AA152" s="39">
        <v>41576</v>
      </c>
      <c r="AB152" s="32">
        <v>41883</v>
      </c>
      <c r="AC152" s="32">
        <v>43248</v>
      </c>
      <c r="AD152"/>
      <c r="BY152" s="14" t="s">
        <v>345</v>
      </c>
      <c r="BZ152" s="14" t="s">
        <v>345</v>
      </c>
      <c r="CA152" s="15" t="s">
        <v>355</v>
      </c>
      <c r="CB152" s="15" t="s">
        <v>346</v>
      </c>
    </row>
    <row r="153" spans="1:80" x14ac:dyDescent="0.3">
      <c r="A153" s="3">
        <v>152</v>
      </c>
      <c r="B153" s="5">
        <v>41</v>
      </c>
      <c r="C153" s="5" t="s">
        <v>245</v>
      </c>
      <c r="D153" s="3" t="s">
        <v>11</v>
      </c>
      <c r="E153" s="5" t="s">
        <v>206</v>
      </c>
      <c r="F153" s="5" t="s">
        <v>207</v>
      </c>
      <c r="G153" s="5" t="s">
        <v>244</v>
      </c>
      <c r="H153" s="5" t="s">
        <v>39</v>
      </c>
      <c r="K153" s="9">
        <v>987688</v>
      </c>
      <c r="L153" s="9">
        <v>987688</v>
      </c>
      <c r="M153" s="9">
        <v>530160.15</v>
      </c>
      <c r="N153" s="9">
        <v>0</v>
      </c>
      <c r="O153" s="9">
        <v>98926.399999999994</v>
      </c>
      <c r="P153" s="9">
        <v>219784.61</v>
      </c>
      <c r="Q153" s="9">
        <v>138816.84</v>
      </c>
      <c r="R153" s="16">
        <v>0</v>
      </c>
      <c r="S153" s="16">
        <v>0</v>
      </c>
      <c r="T153" s="10">
        <v>1713</v>
      </c>
      <c r="U153" s="18"/>
      <c r="V153" s="10">
        <v>0</v>
      </c>
      <c r="W153" s="10">
        <v>0</v>
      </c>
      <c r="X153" s="16">
        <v>0</v>
      </c>
      <c r="Y153" s="32">
        <v>41393</v>
      </c>
      <c r="Z153" s="32">
        <v>41732</v>
      </c>
      <c r="AA153" s="39">
        <v>41827</v>
      </c>
      <c r="AB153" s="32">
        <v>41883</v>
      </c>
      <c r="AC153" s="32">
        <v>44120</v>
      </c>
      <c r="AD153"/>
      <c r="BY153" s="14" t="s">
        <v>345</v>
      </c>
      <c r="BZ153" s="14" t="s">
        <v>345</v>
      </c>
      <c r="CA153" s="15" t="s">
        <v>355</v>
      </c>
      <c r="CB153" s="15" t="s">
        <v>346</v>
      </c>
    </row>
    <row r="154" spans="1:80" x14ac:dyDescent="0.3">
      <c r="A154" s="3">
        <v>153</v>
      </c>
      <c r="B154" s="5">
        <v>47</v>
      </c>
      <c r="C154" s="5" t="s">
        <v>246</v>
      </c>
      <c r="D154" s="3" t="s">
        <v>11</v>
      </c>
      <c r="E154" s="5" t="s">
        <v>206</v>
      </c>
      <c r="F154" s="5" t="s">
        <v>207</v>
      </c>
      <c r="G154" s="5" t="s">
        <v>244</v>
      </c>
      <c r="H154" s="5" t="s">
        <v>45</v>
      </c>
      <c r="K154" s="9">
        <v>994862.34</v>
      </c>
      <c r="L154" s="9">
        <v>820592.61</v>
      </c>
      <c r="M154" s="9">
        <v>421070.18</v>
      </c>
      <c r="N154" s="9">
        <v>0</v>
      </c>
      <c r="O154" s="9">
        <f>99863.17+3111.05</f>
        <v>102974.22</v>
      </c>
      <c r="P154" s="9">
        <v>214516.11</v>
      </c>
      <c r="Q154" s="9">
        <v>82032.100000000006</v>
      </c>
      <c r="R154" s="16">
        <v>0</v>
      </c>
      <c r="S154" s="16">
        <v>0</v>
      </c>
      <c r="T154" s="10">
        <v>1338</v>
      </c>
      <c r="U154" s="10"/>
      <c r="V154" s="10">
        <v>0</v>
      </c>
      <c r="W154" s="10">
        <v>0</v>
      </c>
      <c r="X154" s="16">
        <v>0</v>
      </c>
      <c r="Y154" s="32">
        <v>41864</v>
      </c>
      <c r="Z154" s="32">
        <v>42296</v>
      </c>
      <c r="AA154" s="39">
        <v>42551</v>
      </c>
      <c r="AB154" s="32">
        <v>42644</v>
      </c>
      <c r="AC154" s="32">
        <v>44586</v>
      </c>
      <c r="AD154"/>
      <c r="BY154" s="14" t="s">
        <v>345</v>
      </c>
      <c r="BZ154" s="14" t="s">
        <v>345</v>
      </c>
      <c r="CA154" s="15" t="s">
        <v>355</v>
      </c>
      <c r="CB154" s="15" t="s">
        <v>346</v>
      </c>
    </row>
    <row r="155" spans="1:80" x14ac:dyDescent="0.3">
      <c r="A155" s="3">
        <v>154</v>
      </c>
      <c r="B155" s="5">
        <v>97</v>
      </c>
      <c r="C155" s="5" t="s">
        <v>247</v>
      </c>
      <c r="D155" s="3" t="s">
        <v>11</v>
      </c>
      <c r="E155" s="5" t="s">
        <v>206</v>
      </c>
      <c r="F155" s="5" t="s">
        <v>207</v>
      </c>
      <c r="G155" s="5" t="s">
        <v>244</v>
      </c>
      <c r="H155" s="5" t="s">
        <v>248</v>
      </c>
      <c r="K155" s="15">
        <v>93000.05</v>
      </c>
      <c r="L155" s="15">
        <v>91411.790000000008</v>
      </c>
      <c r="M155" s="15">
        <v>46215.94</v>
      </c>
      <c r="N155" s="15">
        <v>0</v>
      </c>
      <c r="O155" s="15">
        <v>9307.39</v>
      </c>
      <c r="P155" s="15">
        <v>26708.17</v>
      </c>
      <c r="Q155" s="15">
        <v>9180.2900000000009</v>
      </c>
      <c r="R155" s="16">
        <v>0</v>
      </c>
      <c r="S155" s="16">
        <v>0</v>
      </c>
      <c r="T155" s="16">
        <v>237</v>
      </c>
      <c r="U155" s="16">
        <v>12</v>
      </c>
      <c r="V155" s="10">
        <v>0</v>
      </c>
      <c r="W155" s="10">
        <v>0</v>
      </c>
      <c r="X155" s="16">
        <v>0</v>
      </c>
      <c r="Y155" s="32">
        <v>44160</v>
      </c>
      <c r="Z155" s="32">
        <v>45590</v>
      </c>
      <c r="AA155" s="39">
        <v>45688</v>
      </c>
      <c r="AB155" s="32">
        <v>45700</v>
      </c>
      <c r="AD155"/>
      <c r="BY155" s="14" t="s">
        <v>340</v>
      </c>
      <c r="BZ155" s="15" t="s">
        <v>355</v>
      </c>
      <c r="CA155" s="15" t="s">
        <v>355</v>
      </c>
      <c r="CB155" s="15" t="s">
        <v>349</v>
      </c>
    </row>
    <row r="156" spans="1:80" x14ac:dyDescent="0.3">
      <c r="A156" s="3">
        <v>155</v>
      </c>
      <c r="D156" s="3" t="s">
        <v>11</v>
      </c>
      <c r="E156" s="5" t="s">
        <v>206</v>
      </c>
      <c r="F156" s="5" t="s">
        <v>207</v>
      </c>
      <c r="G156" s="5" t="s">
        <v>244</v>
      </c>
      <c r="H156" s="5" t="s">
        <v>249</v>
      </c>
      <c r="K156" s="15">
        <f>130.4094*10000</f>
        <v>1304094</v>
      </c>
      <c r="L156" s="15">
        <f>K156-105458.58</f>
        <v>1198635.42</v>
      </c>
      <c r="M156" s="15"/>
      <c r="N156" s="15"/>
      <c r="O156" s="15"/>
      <c r="P156" s="15"/>
      <c r="Q156" s="15"/>
      <c r="R156" s="16">
        <v>0</v>
      </c>
      <c r="S156" s="16">
        <f>K156*16/10000</f>
        <v>2086.5504000000001</v>
      </c>
      <c r="T156" s="16"/>
      <c r="U156" s="16"/>
      <c r="V156" s="10">
        <v>0</v>
      </c>
      <c r="W156" s="10">
        <v>0</v>
      </c>
      <c r="X156" s="16">
        <v>0</v>
      </c>
      <c r="Y156" s="32"/>
      <c r="Z156" s="32"/>
      <c r="AA156" s="39"/>
      <c r="AB156" s="32"/>
      <c r="AD156" s="32">
        <v>56766</v>
      </c>
      <c r="BY156" s="14"/>
      <c r="BZ156" s="15"/>
      <c r="CA156" s="15"/>
      <c r="CB156" s="15" t="s">
        <v>344</v>
      </c>
    </row>
    <row r="157" spans="1:80" x14ac:dyDescent="0.3">
      <c r="A157" s="3">
        <v>156</v>
      </c>
      <c r="B157" s="5">
        <v>31</v>
      </c>
      <c r="C157" s="5" t="s">
        <v>250</v>
      </c>
      <c r="D157" s="3" t="s">
        <v>11</v>
      </c>
      <c r="E157" s="5" t="s">
        <v>206</v>
      </c>
      <c r="F157" s="5" t="s">
        <v>207</v>
      </c>
      <c r="G157" s="5" t="s">
        <v>251</v>
      </c>
      <c r="H157" s="5" t="s">
        <v>33</v>
      </c>
      <c r="K157" s="9">
        <v>477133</v>
      </c>
      <c r="L157" s="9">
        <v>418034.71</v>
      </c>
      <c r="M157" s="9">
        <v>208392.34</v>
      </c>
      <c r="N157" s="9">
        <v>0</v>
      </c>
      <c r="O157" s="9">
        <v>68583.94</v>
      </c>
      <c r="P157" s="9">
        <v>96536.83</v>
      </c>
      <c r="Q157" s="9">
        <v>44521.599999999999</v>
      </c>
      <c r="R157" s="10">
        <v>0</v>
      </c>
      <c r="S157" s="10">
        <v>0</v>
      </c>
      <c r="T157" s="10">
        <v>711</v>
      </c>
      <c r="U157" s="10">
        <v>24</v>
      </c>
      <c r="V157" s="10">
        <v>0</v>
      </c>
      <c r="W157" s="10">
        <v>0</v>
      </c>
      <c r="X157" s="16">
        <v>0</v>
      </c>
      <c r="Y157" s="32">
        <v>40928</v>
      </c>
      <c r="Z157" s="32">
        <v>41057</v>
      </c>
      <c r="AA157" s="39">
        <v>41085</v>
      </c>
      <c r="AB157" s="32">
        <v>41153</v>
      </c>
      <c r="AC157" s="32">
        <v>43032</v>
      </c>
      <c r="AD157"/>
      <c r="BY157" s="14" t="s">
        <v>345</v>
      </c>
      <c r="BZ157" s="14" t="s">
        <v>345</v>
      </c>
      <c r="CA157" s="15" t="s">
        <v>355</v>
      </c>
      <c r="CB157" s="15" t="s">
        <v>346</v>
      </c>
    </row>
    <row r="158" spans="1:80" x14ac:dyDescent="0.3">
      <c r="A158" s="3">
        <v>157</v>
      </c>
      <c r="B158" s="5">
        <v>10</v>
      </c>
      <c r="C158" s="5" t="s">
        <v>252</v>
      </c>
      <c r="D158" s="3" t="s">
        <v>11</v>
      </c>
      <c r="E158" s="5" t="s">
        <v>206</v>
      </c>
      <c r="F158" s="5" t="s">
        <v>207</v>
      </c>
      <c r="G158" s="5" t="s">
        <v>253</v>
      </c>
      <c r="H158" s="5" t="s">
        <v>53</v>
      </c>
      <c r="K158" s="9">
        <v>366700</v>
      </c>
      <c r="L158" s="9">
        <v>340695.81</v>
      </c>
      <c r="M158" s="9">
        <v>215344.39</v>
      </c>
      <c r="N158" s="9">
        <v>0</v>
      </c>
      <c r="O158" s="9">
        <v>10482.25</v>
      </c>
      <c r="P158" s="9">
        <v>99292.12</v>
      </c>
      <c r="Q158" s="9">
        <v>15577.05</v>
      </c>
      <c r="R158" s="10">
        <v>0</v>
      </c>
      <c r="S158" s="10">
        <v>0</v>
      </c>
      <c r="T158" s="10">
        <v>574</v>
      </c>
      <c r="U158" s="10">
        <v>27</v>
      </c>
      <c r="V158" s="10">
        <v>0</v>
      </c>
      <c r="W158" s="10">
        <v>0</v>
      </c>
      <c r="X158" s="16">
        <v>0</v>
      </c>
      <c r="Y158" s="32">
        <v>40338</v>
      </c>
      <c r="Z158" s="32">
        <v>40532</v>
      </c>
      <c r="AA158" s="39">
        <v>40658</v>
      </c>
      <c r="AB158" s="32">
        <v>40664</v>
      </c>
      <c r="AC158" s="32">
        <v>42600</v>
      </c>
      <c r="AD158"/>
      <c r="BY158" s="14" t="s">
        <v>345</v>
      </c>
      <c r="BZ158" s="14" t="s">
        <v>345</v>
      </c>
      <c r="CA158" s="15" t="s">
        <v>355</v>
      </c>
      <c r="CB158" s="15" t="s">
        <v>346</v>
      </c>
    </row>
    <row r="159" spans="1:80" x14ac:dyDescent="0.3">
      <c r="A159" s="3">
        <v>158</v>
      </c>
      <c r="B159" s="5">
        <v>32</v>
      </c>
      <c r="C159" s="5" t="s">
        <v>254</v>
      </c>
      <c r="D159" s="3" t="s">
        <v>11</v>
      </c>
      <c r="E159" s="5" t="s">
        <v>206</v>
      </c>
      <c r="F159" s="5" t="s">
        <v>207</v>
      </c>
      <c r="G159" s="5" t="s">
        <v>253</v>
      </c>
      <c r="H159" s="5" t="s">
        <v>255</v>
      </c>
      <c r="K159" s="9">
        <v>993110</v>
      </c>
      <c r="L159" s="9">
        <v>936406.26</v>
      </c>
      <c r="M159" s="17">
        <v>636176.84</v>
      </c>
      <c r="N159" s="17">
        <v>0</v>
      </c>
      <c r="O159" s="17">
        <f>37173.71</f>
        <v>37173.71</v>
      </c>
      <c r="P159" s="17">
        <v>248694.01</v>
      </c>
      <c r="Q159" s="17">
        <v>46820.31</v>
      </c>
      <c r="R159" s="16">
        <v>0</v>
      </c>
      <c r="S159" s="16">
        <v>0</v>
      </c>
      <c r="T159" s="10">
        <v>1688</v>
      </c>
      <c r="U159" s="10">
        <v>57</v>
      </c>
      <c r="V159" s="10">
        <v>0</v>
      </c>
      <c r="W159" s="10">
        <v>0</v>
      </c>
      <c r="X159" s="16">
        <v>0</v>
      </c>
      <c r="Y159" s="32">
        <v>41075</v>
      </c>
      <c r="Z159" s="32">
        <v>41101</v>
      </c>
      <c r="AA159" s="39">
        <v>41137</v>
      </c>
      <c r="AB159" s="32">
        <v>41214</v>
      </c>
      <c r="AC159" s="32">
        <v>42590</v>
      </c>
      <c r="AD159"/>
      <c r="BY159" s="14" t="s">
        <v>345</v>
      </c>
      <c r="BZ159" s="14" t="s">
        <v>345</v>
      </c>
      <c r="CA159" s="15" t="s">
        <v>355</v>
      </c>
      <c r="CB159" s="15" t="s">
        <v>346</v>
      </c>
    </row>
    <row r="160" spans="1:80" x14ac:dyDescent="0.3">
      <c r="A160" s="3">
        <v>159</v>
      </c>
      <c r="B160" s="5">
        <v>10</v>
      </c>
      <c r="C160" s="5" t="s">
        <v>256</v>
      </c>
      <c r="D160" s="3" t="s">
        <v>11</v>
      </c>
      <c r="E160" s="5" t="s">
        <v>206</v>
      </c>
      <c r="F160" s="5" t="s">
        <v>207</v>
      </c>
      <c r="G160" s="5" t="s">
        <v>253</v>
      </c>
      <c r="H160" s="5" t="s">
        <v>57</v>
      </c>
      <c r="K160" s="9">
        <v>186512</v>
      </c>
      <c r="L160" s="9">
        <v>186512</v>
      </c>
      <c r="M160" s="9">
        <v>100086.92</v>
      </c>
      <c r="N160" s="9">
        <v>0</v>
      </c>
      <c r="O160" s="9">
        <v>9325.85</v>
      </c>
      <c r="P160" s="9">
        <v>58389.08</v>
      </c>
      <c r="Q160" s="9">
        <v>18710.330000000002</v>
      </c>
      <c r="R160" s="16">
        <v>0</v>
      </c>
      <c r="S160" s="16">
        <v>0</v>
      </c>
      <c r="T160" s="10">
        <v>248</v>
      </c>
      <c r="U160" s="10">
        <v>30</v>
      </c>
      <c r="V160" s="10">
        <v>0</v>
      </c>
      <c r="W160" s="10">
        <v>0</v>
      </c>
      <c r="X160" s="16">
        <v>0</v>
      </c>
      <c r="Y160" s="32">
        <v>39836</v>
      </c>
      <c r="Z160" s="32">
        <v>39990</v>
      </c>
      <c r="AA160" s="39">
        <v>40072</v>
      </c>
      <c r="AB160" s="32">
        <v>40118</v>
      </c>
      <c r="AC160" s="32">
        <v>42590</v>
      </c>
      <c r="AD160"/>
      <c r="BY160" s="14" t="s">
        <v>345</v>
      </c>
      <c r="BZ160" s="14" t="s">
        <v>345</v>
      </c>
      <c r="CA160" s="15" t="s">
        <v>355</v>
      </c>
      <c r="CB160" s="15" t="s">
        <v>346</v>
      </c>
    </row>
    <row r="161" spans="1:80" x14ac:dyDescent="0.3">
      <c r="A161" s="3">
        <v>160</v>
      </c>
      <c r="B161" s="5">
        <v>24</v>
      </c>
      <c r="C161" s="5" t="s">
        <v>257</v>
      </c>
      <c r="D161" s="3" t="s">
        <v>11</v>
      </c>
      <c r="E161" s="5" t="s">
        <v>206</v>
      </c>
      <c r="F161" s="5" t="s">
        <v>207</v>
      </c>
      <c r="G161" s="5" t="s">
        <v>258</v>
      </c>
      <c r="H161" s="5" t="s">
        <v>259</v>
      </c>
      <c r="K161" s="9">
        <v>240636</v>
      </c>
      <c r="L161" s="9">
        <v>240636</v>
      </c>
      <c r="M161" s="9">
        <v>151343.4</v>
      </c>
      <c r="N161" s="9">
        <v>0</v>
      </c>
      <c r="O161" s="9">
        <v>34293.1</v>
      </c>
      <c r="P161" s="9">
        <v>54999.5</v>
      </c>
      <c r="Q161" s="9">
        <v>0</v>
      </c>
      <c r="R161" s="16">
        <v>0</v>
      </c>
      <c r="S161" s="16">
        <v>0</v>
      </c>
      <c r="T161" s="10">
        <v>491</v>
      </c>
      <c r="U161" s="10">
        <v>19</v>
      </c>
      <c r="V161" s="10">
        <v>0</v>
      </c>
      <c r="W161" s="10">
        <v>0</v>
      </c>
      <c r="X161" s="16">
        <v>0</v>
      </c>
      <c r="Y161" s="32">
        <v>39555</v>
      </c>
      <c r="Z161" s="32">
        <v>39776</v>
      </c>
      <c r="AA161" s="39">
        <v>39840</v>
      </c>
      <c r="AB161" s="32">
        <v>39904</v>
      </c>
      <c r="AC161" s="32">
        <v>42348</v>
      </c>
      <c r="AD161"/>
      <c r="BY161" s="14" t="s">
        <v>345</v>
      </c>
      <c r="BZ161" s="14" t="s">
        <v>345</v>
      </c>
      <c r="CA161" s="15" t="s">
        <v>355</v>
      </c>
      <c r="CB161" s="15" t="s">
        <v>346</v>
      </c>
    </row>
    <row r="162" spans="1:80" x14ac:dyDescent="0.3">
      <c r="A162" s="3">
        <v>161</v>
      </c>
      <c r="B162" s="5">
        <v>24</v>
      </c>
      <c r="C162" s="5" t="s">
        <v>260</v>
      </c>
      <c r="D162" s="3" t="s">
        <v>11</v>
      </c>
      <c r="E162" s="5" t="s">
        <v>206</v>
      </c>
      <c r="F162" s="5" t="s">
        <v>207</v>
      </c>
      <c r="G162" s="5" t="s">
        <v>258</v>
      </c>
      <c r="H162" s="5" t="s">
        <v>261</v>
      </c>
      <c r="K162" s="9">
        <v>403692</v>
      </c>
      <c r="L162" s="9">
        <v>373610</v>
      </c>
      <c r="M162" s="9">
        <v>199116.21</v>
      </c>
      <c r="N162" s="9">
        <v>0</v>
      </c>
      <c r="O162" s="9">
        <v>0</v>
      </c>
      <c r="P162" s="9">
        <v>75826.2</v>
      </c>
      <c r="Q162" s="9">
        <v>98667.59</v>
      </c>
      <c r="R162" s="16">
        <v>0</v>
      </c>
      <c r="S162" s="16">
        <v>0</v>
      </c>
      <c r="T162" s="10">
        <v>794</v>
      </c>
      <c r="U162" s="10">
        <v>26</v>
      </c>
      <c r="V162" s="10">
        <v>660</v>
      </c>
      <c r="W162" s="10">
        <v>22</v>
      </c>
      <c r="X162" s="16">
        <v>0</v>
      </c>
      <c r="Y162" s="32">
        <v>39576</v>
      </c>
      <c r="Z162" s="32">
        <v>39799</v>
      </c>
      <c r="AA162" s="39">
        <v>39840</v>
      </c>
      <c r="AB162" s="32">
        <v>39904</v>
      </c>
      <c r="AC162" s="32">
        <v>44265</v>
      </c>
      <c r="AD162"/>
      <c r="BY162" s="14" t="s">
        <v>345</v>
      </c>
      <c r="BZ162" s="14" t="s">
        <v>345</v>
      </c>
      <c r="CA162" s="15" t="s">
        <v>355</v>
      </c>
      <c r="CB162" s="15" t="s">
        <v>346</v>
      </c>
    </row>
    <row r="163" spans="1:80" x14ac:dyDescent="0.3">
      <c r="A163" s="3">
        <v>162</v>
      </c>
      <c r="B163" s="5">
        <v>24</v>
      </c>
      <c r="C163" s="5" t="s">
        <v>262</v>
      </c>
      <c r="D163" s="3" t="s">
        <v>11</v>
      </c>
      <c r="E163" s="5" t="s">
        <v>206</v>
      </c>
      <c r="F163" s="5" t="s">
        <v>207</v>
      </c>
      <c r="G163" s="5" t="s">
        <v>258</v>
      </c>
      <c r="H163" s="5" t="s">
        <v>263</v>
      </c>
      <c r="K163" s="9">
        <v>885867</v>
      </c>
      <c r="L163" s="9">
        <v>879603.85</v>
      </c>
      <c r="M163" s="9">
        <v>560569.43000000005</v>
      </c>
      <c r="N163" s="9">
        <v>0</v>
      </c>
      <c r="O163" s="9">
        <v>46429.57</v>
      </c>
      <c r="P163" s="9">
        <v>226558.71</v>
      </c>
      <c r="Q163" s="9">
        <v>46046.14</v>
      </c>
      <c r="R163" s="16">
        <v>0</v>
      </c>
      <c r="S163" s="16">
        <v>0</v>
      </c>
      <c r="T163" s="10">
        <v>1800</v>
      </c>
      <c r="U163" s="10">
        <v>53</v>
      </c>
      <c r="V163" s="10">
        <v>1914</v>
      </c>
      <c r="W163" s="10">
        <v>56</v>
      </c>
      <c r="X163" s="16">
        <v>0</v>
      </c>
      <c r="Y163" s="32">
        <v>40255</v>
      </c>
      <c r="Z163" s="32">
        <v>40424</v>
      </c>
      <c r="AA163" s="39">
        <v>40505</v>
      </c>
      <c r="AB163" s="32">
        <v>40544</v>
      </c>
      <c r="AC163" s="32">
        <v>42348</v>
      </c>
      <c r="AD163"/>
      <c r="BY163" s="14" t="s">
        <v>345</v>
      </c>
      <c r="BZ163" s="14" t="s">
        <v>345</v>
      </c>
      <c r="CA163" s="15" t="s">
        <v>355</v>
      </c>
      <c r="CB163" s="15" t="s">
        <v>346</v>
      </c>
    </row>
    <row r="164" spans="1:80" x14ac:dyDescent="0.3">
      <c r="A164" s="3">
        <v>163</v>
      </c>
      <c r="B164" s="5">
        <v>24</v>
      </c>
      <c r="C164" s="5" t="s">
        <v>264</v>
      </c>
      <c r="D164" s="3" t="s">
        <v>11</v>
      </c>
      <c r="E164" s="5" t="s">
        <v>206</v>
      </c>
      <c r="F164" s="5" t="s">
        <v>207</v>
      </c>
      <c r="G164" s="5" t="s">
        <v>258</v>
      </c>
      <c r="H164" s="5" t="s">
        <v>265</v>
      </c>
      <c r="K164" s="15">
        <v>108927.25</v>
      </c>
      <c r="L164" s="15"/>
      <c r="M164" s="15"/>
      <c r="N164" s="15"/>
      <c r="O164" s="15"/>
      <c r="P164" s="15"/>
      <c r="Q164" s="15"/>
      <c r="R164" s="16">
        <v>0</v>
      </c>
      <c r="S164" s="16">
        <v>210</v>
      </c>
      <c r="T164" s="16"/>
      <c r="U164" s="16"/>
      <c r="V164" s="16">
        <v>0</v>
      </c>
      <c r="W164" s="16">
        <v>0</v>
      </c>
      <c r="X164" s="16">
        <v>0</v>
      </c>
      <c r="Y164" s="32">
        <v>40248</v>
      </c>
      <c r="AD164" s="32">
        <v>47270</v>
      </c>
      <c r="BY164" s="14" t="s">
        <v>356</v>
      </c>
      <c r="BZ164" s="15" t="s">
        <v>355</v>
      </c>
      <c r="CA164" s="15" t="s">
        <v>355</v>
      </c>
      <c r="CB164" s="15" t="s">
        <v>344</v>
      </c>
    </row>
    <row r="165" spans="1:80" x14ac:dyDescent="0.3">
      <c r="A165" s="3">
        <v>164</v>
      </c>
      <c r="B165" s="5">
        <v>28</v>
      </c>
      <c r="C165" s="5" t="s">
        <v>266</v>
      </c>
      <c r="D165" s="3" t="s">
        <v>11</v>
      </c>
      <c r="E165" s="5" t="s">
        <v>206</v>
      </c>
      <c r="F165" s="5" t="s">
        <v>207</v>
      </c>
      <c r="G165" s="5" t="s">
        <v>258</v>
      </c>
      <c r="H165" s="5" t="s">
        <v>267</v>
      </c>
      <c r="K165" s="9">
        <v>584320</v>
      </c>
      <c r="L165" s="9">
        <v>584320</v>
      </c>
      <c r="M165" s="30">
        <v>340039.5</v>
      </c>
      <c r="N165" s="30">
        <v>0</v>
      </c>
      <c r="O165" s="9">
        <v>40050</v>
      </c>
      <c r="P165" s="9">
        <v>156446.5</v>
      </c>
      <c r="Q165" s="9">
        <v>47784</v>
      </c>
      <c r="R165" s="16">
        <v>0</v>
      </c>
      <c r="S165" s="16">
        <v>0</v>
      </c>
      <c r="T165" s="10">
        <v>1055</v>
      </c>
      <c r="U165" s="18"/>
      <c r="V165" s="10">
        <v>0</v>
      </c>
      <c r="W165" s="10">
        <v>0</v>
      </c>
      <c r="X165" s="16">
        <v>0</v>
      </c>
      <c r="Y165" s="32">
        <v>40596</v>
      </c>
      <c r="Z165" s="32">
        <v>40596</v>
      </c>
      <c r="AA165" s="39">
        <v>40602</v>
      </c>
      <c r="AB165" s="32">
        <v>40695</v>
      </c>
      <c r="AC165" s="32">
        <v>42165</v>
      </c>
      <c r="AD165" s="39"/>
      <c r="AI165" s="47"/>
      <c r="AJ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Q165" s="55"/>
      <c r="BR165" s="55"/>
      <c r="BS165" s="55"/>
      <c r="BT165" s="55"/>
      <c r="BU165" s="55"/>
      <c r="BV165" s="55"/>
      <c r="BW165" s="55"/>
      <c r="BX165" s="47"/>
      <c r="BY165" s="14" t="s">
        <v>345</v>
      </c>
      <c r="BZ165" s="14" t="s">
        <v>345</v>
      </c>
      <c r="CA165" s="15" t="s">
        <v>355</v>
      </c>
      <c r="CB165" s="15" t="s">
        <v>346</v>
      </c>
    </row>
    <row r="166" spans="1:80" x14ac:dyDescent="0.3">
      <c r="A166" s="3">
        <v>165</v>
      </c>
      <c r="B166" s="5">
        <v>90</v>
      </c>
      <c r="C166" s="5" t="s">
        <v>268</v>
      </c>
      <c r="D166" s="3" t="s">
        <v>11</v>
      </c>
      <c r="E166" s="5" t="s">
        <v>269</v>
      </c>
      <c r="F166" s="5" t="s">
        <v>270</v>
      </c>
      <c r="G166" s="5" t="s">
        <v>271</v>
      </c>
      <c r="H166" s="5" t="s">
        <v>39</v>
      </c>
      <c r="K166" s="9">
        <v>940838.92</v>
      </c>
      <c r="L166" s="31"/>
      <c r="M166" s="31">
        <v>531861.92000000004</v>
      </c>
      <c r="N166" s="31">
        <v>0</v>
      </c>
      <c r="O166" s="31"/>
      <c r="P166" s="31"/>
      <c r="Q166" s="31"/>
      <c r="R166" s="16">
        <v>0</v>
      </c>
      <c r="S166" s="16">
        <v>0</v>
      </c>
      <c r="T166" s="18">
        <v>2045</v>
      </c>
      <c r="U166" s="10">
        <v>66</v>
      </c>
      <c r="V166" s="29"/>
      <c r="W166" s="29"/>
      <c r="X166" s="16">
        <v>0</v>
      </c>
      <c r="Y166" s="32">
        <v>41624</v>
      </c>
      <c r="Z166" s="32">
        <v>42068</v>
      </c>
      <c r="AA166" s="39">
        <v>42181</v>
      </c>
      <c r="AB166" s="32">
        <v>42248</v>
      </c>
      <c r="AD166"/>
      <c r="BY166" s="14" t="s">
        <v>340</v>
      </c>
      <c r="BZ166" s="14" t="s">
        <v>341</v>
      </c>
      <c r="CA166" s="15" t="s">
        <v>342</v>
      </c>
      <c r="CB166" s="15" t="s">
        <v>354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Valerio</dc:creator>
  <cp:lastModifiedBy>Alexander Valerio</cp:lastModifiedBy>
  <dcterms:created xsi:type="dcterms:W3CDTF">2026-04-09T11:43:59Z</dcterms:created>
  <dcterms:modified xsi:type="dcterms:W3CDTF">2026-04-09T12:15:36Z</dcterms:modified>
</cp:coreProperties>
</file>